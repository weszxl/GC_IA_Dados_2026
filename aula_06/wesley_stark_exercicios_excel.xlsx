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68\EXCELCNV\c98ac9af-3c08-48f0-ada5-1802da40da1f\"/>
    </mc:Choice>
  </mc:AlternateContent>
  <xr:revisionPtr revIDLastSave="0" documentId="8_{F1715EDD-9ECF-458A-9CC9-B0DA200DA9B5}" xr6:coauthVersionLast="47" xr6:coauthVersionMax="47" xr10:uidLastSave="{00000000-0000-0000-0000-000000000000}"/>
  <bookViews>
    <workbookView xWindow="-60" yWindow="-60" windowWidth="15480" windowHeight="11640" firstSheet="7" activeTab="6" xr2:uid="{0EE6FED0-460A-40B6-B6E8-61546DCF79C4}"/>
  </bookViews>
  <sheets>
    <sheet name="Ex.excel01" sheetId="7" r:id="rId1"/>
    <sheet name="Ex.excel02" sheetId="8" r:id="rId2"/>
    <sheet name="Ex.excel03" sheetId="9" r:id="rId3"/>
    <sheet name="Ex.excel04" sheetId="10" r:id="rId4"/>
    <sheet name="banco_westeros_base" sheetId="2" r:id="rId5"/>
    <sheet name="tratamento" sheetId="6" r:id="rId6"/>
    <sheet name="banco_westeros_limpo" sheetId="1" r:id="rId7"/>
    <sheet name="registro_limpeza" sheetId="5" r:id="rId8"/>
    <sheet name="grafico_risco-financeiro" sheetId="3" r:id="rId9"/>
  </sheets>
  <calcPr calcId="191028"/>
  <pivotCaches>
    <pivotCache cacheId="3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F5" i="10"/>
  <c r="F4" i="10"/>
  <c r="F3" i="10"/>
  <c r="F2" i="10"/>
  <c r="G3" i="9"/>
  <c r="G4" i="9"/>
  <c r="G5" i="9"/>
  <c r="G6" i="9"/>
  <c r="G7" i="9"/>
  <c r="F7" i="9"/>
  <c r="F6" i="9"/>
  <c r="F5" i="9"/>
  <c r="F4" i="9"/>
  <c r="F3" i="9"/>
  <c r="D3" i="8"/>
  <c r="D8" i="8"/>
  <c r="D7" i="8"/>
  <c r="D6" i="8"/>
  <c r="D5" i="8"/>
  <c r="D4" i="8"/>
  <c r="N2" i="1"/>
  <c r="O2" i="1"/>
  <c r="K2" i="1"/>
  <c r="P2" i="1"/>
  <c r="C16" i="3"/>
  <c r="C7" i="3"/>
  <c r="C8" i="3"/>
  <c r="C9" i="3"/>
  <c r="C10" i="3"/>
  <c r="C11" i="3"/>
  <c r="C12" i="3"/>
  <c r="C13" i="3"/>
  <c r="C14" i="3"/>
  <c r="C15" i="3"/>
  <c r="O42" i="1"/>
  <c r="O230" i="1"/>
  <c r="O81" i="1"/>
  <c r="O175" i="1"/>
  <c r="O252" i="1"/>
  <c r="O195" i="1"/>
  <c r="O13" i="1"/>
  <c r="O330" i="1"/>
  <c r="O296" i="1"/>
  <c r="O365" i="1"/>
  <c r="O276" i="1"/>
  <c r="O56" i="1"/>
  <c r="O377" i="1"/>
  <c r="O69" i="1"/>
  <c r="O302" i="1"/>
  <c r="O273" i="1"/>
  <c r="O348" i="1"/>
  <c r="O226" i="1"/>
  <c r="O150" i="1"/>
  <c r="O189" i="1"/>
  <c r="O119" i="1"/>
  <c r="O262" i="1"/>
  <c r="O253" i="1"/>
  <c r="O126" i="1"/>
  <c r="O32" i="1"/>
  <c r="O183" i="1"/>
  <c r="O116" i="1"/>
  <c r="O211" i="1"/>
  <c r="O340" i="1"/>
  <c r="O27" i="1"/>
  <c r="O390" i="1"/>
  <c r="O392" i="1"/>
  <c r="O94" i="1"/>
  <c r="O383" i="1"/>
  <c r="O180" i="1"/>
  <c r="O246" i="1"/>
  <c r="O203" i="1"/>
  <c r="O291" i="1"/>
  <c r="O108" i="1"/>
  <c r="O97" i="1"/>
  <c r="O127" i="1"/>
  <c r="O238" i="1"/>
  <c r="O356" i="1"/>
  <c r="O361" i="1"/>
  <c r="O161" i="1"/>
  <c r="O270" i="1"/>
  <c r="O393" i="1"/>
  <c r="O191" i="1"/>
  <c r="O90" i="1"/>
  <c r="O292" i="1"/>
  <c r="O288" i="1"/>
  <c r="O307" i="1"/>
  <c r="O59" i="1"/>
  <c r="O345" i="1"/>
  <c r="O61" i="1"/>
  <c r="O320" i="1"/>
  <c r="O241" i="1"/>
  <c r="O55" i="1"/>
  <c r="O121" i="1"/>
  <c r="O70" i="1"/>
  <c r="O243" i="1"/>
  <c r="O44" i="1"/>
  <c r="O71" i="1"/>
  <c r="O285" i="1"/>
  <c r="O172" i="1"/>
  <c r="O50" i="1"/>
  <c r="O162" i="1"/>
  <c r="O267" i="1"/>
  <c r="O316" i="1"/>
  <c r="O88" i="1"/>
  <c r="O153" i="1"/>
  <c r="O347" i="1"/>
  <c r="O98" i="1"/>
  <c r="O207" i="1"/>
  <c r="O45" i="1"/>
  <c r="O193" i="1"/>
  <c r="O319" i="1"/>
  <c r="O132" i="1"/>
  <c r="O147" i="1"/>
  <c r="O362" i="1"/>
  <c r="O25" i="1"/>
  <c r="O380" i="1"/>
  <c r="O72" i="1"/>
  <c r="O334" i="1"/>
  <c r="O254" i="1"/>
  <c r="O281" i="1"/>
  <c r="O384" i="1"/>
  <c r="O372" i="1"/>
  <c r="O111" i="1"/>
  <c r="O196" i="1"/>
  <c r="O236" i="1"/>
  <c r="O84" i="1"/>
  <c r="O91" i="1"/>
  <c r="O169" i="1"/>
  <c r="O65" i="1"/>
  <c r="O164" i="1"/>
  <c r="O176" i="1"/>
  <c r="O165" i="1"/>
  <c r="O120" i="1"/>
  <c r="O148" i="1"/>
  <c r="O287" i="1"/>
  <c r="O109" i="1"/>
  <c r="O28" i="1"/>
  <c r="O76" i="1"/>
  <c r="O38" i="1"/>
  <c r="O11" i="1"/>
  <c r="O227" i="1"/>
  <c r="O115" i="1"/>
  <c r="O212" i="1"/>
  <c r="O20" i="1"/>
  <c r="O85" i="1"/>
  <c r="O234" i="1"/>
  <c r="O14" i="1"/>
  <c r="O110" i="1"/>
  <c r="O17" i="1"/>
  <c r="O395" i="1"/>
  <c r="O325" i="1"/>
  <c r="O245" i="1"/>
  <c r="O154" i="1"/>
  <c r="O192" i="1"/>
  <c r="O248" i="1"/>
  <c r="O286" i="1"/>
  <c r="O141" i="1"/>
  <c r="O158" i="1"/>
  <c r="O197" i="1"/>
  <c r="O326" i="1"/>
  <c r="O388" i="1"/>
  <c r="O35" i="1"/>
  <c r="O86" i="1"/>
  <c r="O303" i="1"/>
  <c r="O39" i="1"/>
  <c r="O244" i="1"/>
  <c r="O322" i="1"/>
  <c r="O352" i="1"/>
  <c r="O366" i="1"/>
  <c r="O135" i="1"/>
  <c r="O144" i="1"/>
  <c r="O357" i="1"/>
  <c r="O99" i="1"/>
  <c r="O210" i="1"/>
  <c r="O133" i="1"/>
  <c r="O15" i="1"/>
  <c r="O58" i="1"/>
  <c r="O82" i="1"/>
  <c r="O74" i="1"/>
  <c r="O83" i="1"/>
  <c r="O312" i="1"/>
  <c r="O66" i="1"/>
  <c r="O297" i="1"/>
  <c r="O5" i="1"/>
  <c r="O57" i="1"/>
  <c r="O122" i="1"/>
  <c r="O157" i="1"/>
  <c r="O177" i="1"/>
  <c r="O68" i="1"/>
  <c r="O251" i="1"/>
  <c r="O257" i="1"/>
  <c r="O217" i="1"/>
  <c r="O336" i="1"/>
  <c r="O139" i="1"/>
  <c r="O394" i="1"/>
  <c r="O235" i="1"/>
  <c r="O62" i="1"/>
  <c r="O373" i="1"/>
  <c r="O124" i="1"/>
  <c r="O323" i="1"/>
  <c r="O213" i="1"/>
  <c r="O198" i="1"/>
  <c r="O378" i="1"/>
  <c r="O224" i="1"/>
  <c r="O375" i="1"/>
  <c r="O105" i="1"/>
  <c r="O309" i="1"/>
  <c r="O335" i="1"/>
  <c r="O43" i="1"/>
  <c r="O60" i="1"/>
  <c r="O240" i="1"/>
  <c r="O397" i="1"/>
  <c r="O12" i="1"/>
  <c r="O184" i="1"/>
  <c r="O79" i="1"/>
  <c r="O225" i="1"/>
  <c r="O117" i="1"/>
  <c r="O242" i="1"/>
  <c r="O64" i="1"/>
  <c r="O385" i="1"/>
  <c r="O301" i="1"/>
  <c r="O231" i="1"/>
  <c r="O136" i="1"/>
  <c r="O282" i="1"/>
  <c r="O349" i="1"/>
  <c r="O89" i="1"/>
  <c r="O214" i="1"/>
  <c r="O142" i="1"/>
  <c r="O280" i="1"/>
  <c r="O194" i="1"/>
  <c r="O313" i="1"/>
  <c r="O34" i="1"/>
  <c r="O219" i="1"/>
  <c r="O24" i="1"/>
  <c r="O174" i="1"/>
  <c r="O268" i="1"/>
  <c r="O274" i="1"/>
  <c r="O249" i="1"/>
  <c r="O386" i="1"/>
  <c r="O95" i="1"/>
  <c r="O310" i="1"/>
  <c r="O374" i="1"/>
  <c r="O102" i="1"/>
  <c r="O269" i="1"/>
  <c r="O6" i="1"/>
  <c r="O168" i="1"/>
  <c r="O30" i="1"/>
  <c r="O350" i="1"/>
  <c r="O368" i="1"/>
  <c r="O178" i="1"/>
  <c r="O401" i="1"/>
  <c r="O399" i="1"/>
  <c r="O53" i="1"/>
  <c r="O9" i="1"/>
  <c r="O75" i="1"/>
  <c r="O359" i="1"/>
  <c r="O360" i="1"/>
  <c r="O26" i="1"/>
  <c r="O40" i="1"/>
  <c r="O7" i="1"/>
  <c r="O145" i="1"/>
  <c r="O166" i="1"/>
  <c r="O46" i="1"/>
  <c r="O3" i="1"/>
  <c r="O311" i="1"/>
  <c r="O218" i="1"/>
  <c r="O260" i="1"/>
  <c r="O261" i="1"/>
  <c r="O51" i="1"/>
  <c r="O221" i="1"/>
  <c r="O208" i="1"/>
  <c r="O112" i="1"/>
  <c r="O367" i="1"/>
  <c r="O272" i="1"/>
  <c r="O167" i="1"/>
  <c r="O41" i="1"/>
  <c r="O173" i="1"/>
  <c r="O337" i="1"/>
  <c r="O185" i="1"/>
  <c r="O398" i="1"/>
  <c r="O305" i="1"/>
  <c r="O284" i="1"/>
  <c r="O317" i="1"/>
  <c r="O103" i="1"/>
  <c r="O155" i="1"/>
  <c r="O263" i="1"/>
  <c r="O318" i="1"/>
  <c r="O289" i="1"/>
  <c r="O321" i="1"/>
  <c r="O327" i="1"/>
  <c r="O129" i="1"/>
  <c r="O341" i="1"/>
  <c r="O306" i="1"/>
  <c r="O204" i="1"/>
  <c r="O215" i="1"/>
  <c r="O370" i="1"/>
  <c r="O331" i="1"/>
  <c r="O389" i="1"/>
  <c r="O229" i="1"/>
  <c r="O298" i="1"/>
  <c r="O237" i="1"/>
  <c r="O149" i="1"/>
  <c r="O353" i="1"/>
  <c r="O205" i="1"/>
  <c r="O232" i="1"/>
  <c r="O295" i="1"/>
  <c r="O125" i="1"/>
  <c r="O113" i="1"/>
  <c r="O364" i="1"/>
  <c r="O283" i="1"/>
  <c r="O21" i="1"/>
  <c r="O324" i="1"/>
  <c r="O36" i="1"/>
  <c r="O222" i="1"/>
  <c r="O63" i="1"/>
  <c r="O186" i="1"/>
  <c r="O199" i="1"/>
  <c r="O358" i="1"/>
  <c r="O140" i="1"/>
  <c r="O355" i="1"/>
  <c r="O264" i="1"/>
  <c r="O152" i="1"/>
  <c r="O216" i="1"/>
  <c r="O299" i="1"/>
  <c r="O258" i="1"/>
  <c r="O8" i="1"/>
  <c r="O369" i="1"/>
  <c r="O308" i="1"/>
  <c r="O354" i="1"/>
  <c r="O19" i="1"/>
  <c r="O118" i="1"/>
  <c r="O52" i="1"/>
  <c r="O342" i="1"/>
  <c r="O54" i="1"/>
  <c r="O328" i="1"/>
  <c r="O22" i="1"/>
  <c r="O220" i="1"/>
  <c r="O314" i="1"/>
  <c r="O275" i="1"/>
  <c r="O23" i="1"/>
  <c r="O143" i="1"/>
  <c r="O179" i="1"/>
  <c r="O363" i="1"/>
  <c r="O294" i="1"/>
  <c r="O187" i="1"/>
  <c r="O137" i="1"/>
  <c r="O114" i="1"/>
  <c r="O130" i="1"/>
  <c r="O4" i="1"/>
  <c r="O188" i="1"/>
  <c r="O201" i="1"/>
  <c r="O48" i="1"/>
  <c r="O190" i="1"/>
  <c r="O49" i="1"/>
  <c r="O128" i="1"/>
  <c r="O346" i="1"/>
  <c r="O338" i="1"/>
  <c r="O239" i="1"/>
  <c r="O78" i="1"/>
  <c r="O123" i="1"/>
  <c r="O100" i="1"/>
  <c r="O181" i="1"/>
  <c r="O396" i="1"/>
  <c r="O371" i="1"/>
  <c r="O300" i="1"/>
  <c r="O92" i="1"/>
  <c r="O379" i="1"/>
  <c r="O381" i="1"/>
  <c r="O247" i="1"/>
  <c r="O343" i="1"/>
  <c r="O10" i="1"/>
  <c r="O106" i="1"/>
  <c r="O376" i="1"/>
  <c r="O131" i="1"/>
  <c r="O344" i="1"/>
  <c r="O265" i="1"/>
  <c r="O104" i="1"/>
  <c r="O73" i="1"/>
  <c r="O202" i="1"/>
  <c r="O138" i="1"/>
  <c r="O255" i="1"/>
  <c r="O250" i="1"/>
  <c r="O333" i="1"/>
  <c r="O209" i="1"/>
  <c r="O107" i="1"/>
  <c r="O332" i="1"/>
  <c r="O391" i="1"/>
  <c r="O156" i="1"/>
  <c r="O315" i="1"/>
  <c r="O67" i="1"/>
  <c r="O33" i="1"/>
  <c r="O277" i="1"/>
  <c r="O278" i="1"/>
  <c r="O259" i="1"/>
  <c r="O159" i="1"/>
  <c r="O266" i="1"/>
  <c r="O96" i="1"/>
  <c r="O182" i="1"/>
  <c r="O47" i="1"/>
  <c r="O387" i="1"/>
  <c r="O329" i="1"/>
  <c r="O29" i="1"/>
  <c r="O351" i="1"/>
  <c r="O400" i="1"/>
  <c r="O77" i="1"/>
  <c r="O101" i="1"/>
  <c r="O16" i="1"/>
  <c r="O170" i="1"/>
  <c r="O18" i="1"/>
  <c r="O256" i="1"/>
  <c r="O134" i="1"/>
  <c r="O160" i="1"/>
  <c r="O87" i="1"/>
  <c r="O304" i="1"/>
  <c r="O80" i="1"/>
  <c r="O290" i="1"/>
  <c r="O206" i="1"/>
  <c r="O93" i="1"/>
  <c r="O279" i="1"/>
  <c r="O293" i="1"/>
  <c r="O37" i="1"/>
  <c r="O271" i="1"/>
  <c r="O228" i="1"/>
  <c r="O146" i="1"/>
  <c r="O171" i="1"/>
  <c r="O223" i="1"/>
  <c r="O339" i="1"/>
  <c r="O233" i="1"/>
  <c r="O163" i="1"/>
  <c r="O151" i="1"/>
  <c r="O402" i="1"/>
  <c r="O382" i="1"/>
  <c r="O200" i="1"/>
  <c r="O31" i="1"/>
  <c r="N13" i="1"/>
  <c r="N276" i="1"/>
  <c r="N348" i="1"/>
  <c r="N230" i="1"/>
  <c r="N183" i="1"/>
  <c r="N116" i="1"/>
  <c r="N211" i="1"/>
  <c r="N340" i="1"/>
  <c r="N27" i="1"/>
  <c r="N203" i="1"/>
  <c r="N97" i="1"/>
  <c r="N127" i="1"/>
  <c r="N238" i="1"/>
  <c r="N90" i="1"/>
  <c r="N288" i="1"/>
  <c r="N307" i="1"/>
  <c r="N59" i="1"/>
  <c r="N241" i="1"/>
  <c r="N55" i="1"/>
  <c r="N121" i="1"/>
  <c r="N285" i="1"/>
  <c r="N172" i="1"/>
  <c r="N316" i="1"/>
  <c r="N207" i="1"/>
  <c r="N193" i="1"/>
  <c r="N319" i="1"/>
  <c r="N132" i="1"/>
  <c r="N147" i="1"/>
  <c r="N380" i="1"/>
  <c r="N281" i="1"/>
  <c r="N384" i="1"/>
  <c r="N236" i="1"/>
  <c r="N84" i="1"/>
  <c r="N91" i="1"/>
  <c r="N65" i="1"/>
  <c r="N76" i="1"/>
  <c r="N212" i="1"/>
  <c r="N85" i="1"/>
  <c r="N234" i="1"/>
  <c r="N245" i="1"/>
  <c r="N141" i="1"/>
  <c r="N158" i="1"/>
  <c r="N388" i="1"/>
  <c r="N35" i="1"/>
  <c r="N135" i="1"/>
  <c r="N58" i="1"/>
  <c r="N82" i="1"/>
  <c r="N83" i="1"/>
  <c r="N312" i="1"/>
  <c r="N68" i="1"/>
  <c r="N251" i="1"/>
  <c r="N235" i="1"/>
  <c r="N124" i="1"/>
  <c r="N375" i="1"/>
  <c r="N105" i="1"/>
  <c r="N309" i="1"/>
  <c r="N60" i="1"/>
  <c r="N397" i="1"/>
  <c r="N64" i="1"/>
  <c r="N301" i="1"/>
  <c r="N231" i="1"/>
  <c r="N280" i="1"/>
  <c r="N194" i="1"/>
  <c r="N219" i="1"/>
  <c r="N174" i="1"/>
  <c r="N374" i="1"/>
  <c r="N168" i="1"/>
  <c r="N401" i="1"/>
  <c r="N399" i="1"/>
  <c r="N53" i="1"/>
  <c r="N9" i="1"/>
  <c r="N359" i="1"/>
  <c r="N360" i="1"/>
  <c r="N46" i="1"/>
  <c r="N221" i="1"/>
  <c r="N208" i="1"/>
  <c r="N367" i="1"/>
  <c r="N272" i="1"/>
  <c r="N167" i="1"/>
  <c r="N305" i="1"/>
  <c r="N317" i="1"/>
  <c r="N318" i="1"/>
  <c r="N289" i="1"/>
  <c r="N353" i="1"/>
  <c r="N125" i="1"/>
  <c r="N283" i="1"/>
  <c r="N21" i="1"/>
  <c r="N324" i="1"/>
  <c r="N199" i="1"/>
  <c r="N140" i="1"/>
  <c r="N355" i="1"/>
  <c r="N216" i="1"/>
  <c r="N19" i="1"/>
  <c r="N54" i="1"/>
  <c r="N314" i="1"/>
  <c r="N294" i="1"/>
  <c r="N114" i="1"/>
  <c r="N130" i="1"/>
  <c r="N188" i="1"/>
  <c r="N201" i="1"/>
  <c r="N48" i="1"/>
  <c r="N49" i="1"/>
  <c r="N128" i="1"/>
  <c r="N239" i="1"/>
  <c r="N78" i="1"/>
  <c r="N371" i="1"/>
  <c r="N381" i="1"/>
  <c r="N343" i="1"/>
  <c r="N10" i="1"/>
  <c r="N344" i="1"/>
  <c r="N73" i="1"/>
  <c r="N138" i="1"/>
  <c r="N333" i="1"/>
  <c r="N391" i="1"/>
  <c r="N156" i="1"/>
  <c r="N33" i="1"/>
  <c r="N266" i="1"/>
  <c r="N96" i="1"/>
  <c r="N47" i="1"/>
  <c r="N329" i="1"/>
  <c r="N400" i="1"/>
  <c r="N16" i="1"/>
  <c r="N304" i="1"/>
  <c r="N80" i="1"/>
  <c r="N290" i="1"/>
  <c r="N93" i="1"/>
  <c r="N279" i="1"/>
  <c r="N163" i="1"/>
  <c r="N402" i="1"/>
  <c r="N382" i="1"/>
  <c r="K156" i="1"/>
  <c r="P156" i="1" s="1"/>
  <c r="P10" i="1"/>
  <c r="K10" i="1"/>
  <c r="K80" i="1"/>
  <c r="P80" i="1" s="1"/>
  <c r="P35" i="1"/>
  <c r="K35" i="1"/>
  <c r="K96" i="1"/>
  <c r="P96" i="1" s="1"/>
  <c r="P59" i="1"/>
  <c r="K59" i="1"/>
  <c r="P130" i="1"/>
  <c r="K7" i="1"/>
  <c r="K43" i="1"/>
  <c r="N43" i="1" s="1"/>
  <c r="K98" i="1"/>
  <c r="N98" i="1" s="1"/>
  <c r="K311" i="1"/>
  <c r="N311" i="1" s="1"/>
  <c r="K360" i="1"/>
  <c r="P360" i="1" s="1"/>
  <c r="K164" i="1"/>
  <c r="K47" i="1"/>
  <c r="P47" i="1" s="1"/>
  <c r="K345" i="1"/>
  <c r="N345" i="1" s="1"/>
  <c r="K277" i="1"/>
  <c r="K401" i="1"/>
  <c r="P401" i="1" s="1"/>
  <c r="K278" i="1"/>
  <c r="N278" i="1" s="1"/>
  <c r="K331" i="1"/>
  <c r="N331" i="1" s="1"/>
  <c r="K196" i="1"/>
  <c r="N196" i="1" s="1"/>
  <c r="K55" i="1"/>
  <c r="P55" i="1" s="1"/>
  <c r="K126" i="1"/>
  <c r="N126" i="1" s="1"/>
  <c r="K287" i="1"/>
  <c r="N287" i="1" s="1"/>
  <c r="K241" i="1"/>
  <c r="P241" i="1" s="1"/>
  <c r="K186" i="1"/>
  <c r="N186" i="1" s="1"/>
  <c r="K124" i="1"/>
  <c r="P124" i="1" s="1"/>
  <c r="K63" i="1"/>
  <c r="N63" i="1" s="1"/>
  <c r="K209" i="1"/>
  <c r="N209" i="1" s="1"/>
  <c r="K246" i="1"/>
  <c r="N246" i="1" s="1"/>
  <c r="K237" i="1"/>
  <c r="N237" i="1" s="1"/>
  <c r="K131" i="1"/>
  <c r="N131" i="1" s="1"/>
  <c r="K168" i="1"/>
  <c r="P168" i="1" s="1"/>
  <c r="K347" i="1"/>
  <c r="N347" i="1" s="1"/>
  <c r="K76" i="1"/>
  <c r="P76" i="1" s="1"/>
  <c r="K62" i="1"/>
  <c r="N62" i="1" s="1"/>
  <c r="K101" i="1"/>
  <c r="N101" i="1" s="1"/>
  <c r="K144" i="1"/>
  <c r="N144" i="1" s="1"/>
  <c r="K181" i="1"/>
  <c r="N181" i="1" s="1"/>
  <c r="K202" i="1"/>
  <c r="N202" i="1" s="1"/>
  <c r="K218" i="1"/>
  <c r="N218" i="1" s="1"/>
  <c r="K103" i="1"/>
  <c r="N103" i="1" s="1"/>
  <c r="K235" i="1"/>
  <c r="K375" i="1"/>
  <c r="K291" i="1"/>
  <c r="N291" i="1" s="1"/>
  <c r="K33" i="1"/>
  <c r="P33" i="1" s="1"/>
  <c r="K390" i="1"/>
  <c r="N390" i="1" s="1"/>
  <c r="K315" i="1"/>
  <c r="N315" i="1" s="1"/>
  <c r="K255" i="1"/>
  <c r="N255" i="1" s="1"/>
  <c r="K205" i="1"/>
  <c r="N205" i="1" s="1"/>
  <c r="K394" i="1"/>
  <c r="N394" i="1" s="1"/>
  <c r="K259" i="1"/>
  <c r="N259" i="1" s="1"/>
  <c r="K67" i="1"/>
  <c r="N67" i="1" s="1"/>
  <c r="K224" i="1"/>
  <c r="N224" i="1" s="1"/>
  <c r="K352" i="1"/>
  <c r="N352" i="1" s="1"/>
  <c r="K269" i="1"/>
  <c r="N269" i="1" s="1"/>
  <c r="K371" i="1"/>
  <c r="P371" i="1" s="1"/>
  <c r="K160" i="1"/>
  <c r="N160" i="1" s="1"/>
  <c r="K296" i="1"/>
  <c r="N296" i="1" s="1"/>
  <c r="K386" i="1"/>
  <c r="N386" i="1" s="1"/>
  <c r="K125" i="1"/>
  <c r="P125" i="1" s="1"/>
  <c r="K273" i="1"/>
  <c r="N273" i="1" s="1"/>
  <c r="K122" i="1"/>
  <c r="N122" i="1" s="1"/>
  <c r="K252" i="1"/>
  <c r="N252" i="1" s="1"/>
  <c r="K117" i="1"/>
  <c r="N117" i="1" s="1"/>
  <c r="K271" i="1"/>
  <c r="N271" i="1" s="1"/>
  <c r="K90" i="1"/>
  <c r="P90" i="1" s="1"/>
  <c r="K266" i="1"/>
  <c r="K373" i="1"/>
  <c r="N373" i="1" s="1"/>
  <c r="K48" i="1"/>
  <c r="K258" i="1"/>
  <c r="N258" i="1" s="1"/>
  <c r="K330" i="1"/>
  <c r="N330" i="1" s="1"/>
  <c r="K387" i="1"/>
  <c r="N387" i="1" s="1"/>
  <c r="K61" i="1"/>
  <c r="N61" i="1" s="1"/>
  <c r="K50" i="1"/>
  <c r="N50" i="1" s="1"/>
  <c r="K99" i="1"/>
  <c r="N99" i="1" s="1"/>
  <c r="K253" i="1"/>
  <c r="N253" i="1" s="1"/>
  <c r="K44" i="1"/>
  <c r="N44" i="1" s="1"/>
  <c r="K68" i="1"/>
  <c r="P68" i="1" s="1"/>
  <c r="K110" i="1"/>
  <c r="N110" i="1" s="1"/>
  <c r="K73" i="1"/>
  <c r="P73" i="1" s="1"/>
  <c r="K28" i="1"/>
  <c r="N28" i="1" s="1"/>
  <c r="K215" i="1"/>
  <c r="N215" i="1" s="1"/>
  <c r="K257" i="1"/>
  <c r="N257" i="1" s="1"/>
  <c r="K83" i="1"/>
  <c r="P83" i="1" s="1"/>
  <c r="K312" i="1"/>
  <c r="P312" i="1" s="1"/>
  <c r="K142" i="1"/>
  <c r="N142" i="1" s="1"/>
  <c r="K29" i="1"/>
  <c r="N29" i="1" s="1"/>
  <c r="K317" i="1"/>
  <c r="P317" i="1" s="1"/>
  <c r="K174" i="1"/>
  <c r="P174" i="1" s="1"/>
  <c r="K71" i="1"/>
  <c r="N71" i="1" s="1"/>
  <c r="K388" i="1"/>
  <c r="P388" i="1" s="1"/>
  <c r="K115" i="1"/>
  <c r="N115" i="1" s="1"/>
  <c r="K32" i="1"/>
  <c r="N32" i="1" s="1"/>
  <c r="K265" i="1"/>
  <c r="N265" i="1" s="1"/>
  <c r="K4" i="1"/>
  <c r="N4" i="1" s="1"/>
  <c r="K256" i="1"/>
  <c r="N256" i="1" s="1"/>
  <c r="K109" i="1"/>
  <c r="N109" i="1" s="1"/>
  <c r="K304" i="1"/>
  <c r="K31" i="1"/>
  <c r="N31" i="1" s="1"/>
  <c r="K391" i="1"/>
  <c r="K305" i="1"/>
  <c r="P305" i="1" s="1"/>
  <c r="K350" i="1"/>
  <c r="N350" i="1" s="1"/>
  <c r="K280" i="1"/>
  <c r="P280" i="1" s="1"/>
  <c r="K121" i="1"/>
  <c r="P121" i="1" s="1"/>
  <c r="K97" i="1"/>
  <c r="P97" i="1" s="1"/>
  <c r="K359" i="1"/>
  <c r="P359" i="1" s="1"/>
  <c r="K302" i="1"/>
  <c r="N302" i="1" s="1"/>
  <c r="K372" i="1"/>
  <c r="N372" i="1" s="1"/>
  <c r="K298" i="1"/>
  <c r="N298" i="1" s="1"/>
  <c r="K289" i="1"/>
  <c r="P289" i="1" s="1"/>
  <c r="K54" i="1"/>
  <c r="P54" i="1" s="1"/>
  <c r="K219" i="1"/>
  <c r="P219" i="1" s="1"/>
  <c r="K341" i="1"/>
  <c r="N341" i="1" s="1"/>
  <c r="K367" i="1"/>
  <c r="P367" i="1" s="1"/>
  <c r="K120" i="1"/>
  <c r="N120" i="1" s="1"/>
  <c r="K333" i="1"/>
  <c r="P333" i="1" s="1"/>
  <c r="K69" i="1"/>
  <c r="N69" i="1" s="1"/>
  <c r="K187" i="1"/>
  <c r="N187" i="1" s="1"/>
  <c r="K176" i="1"/>
  <c r="N176" i="1" s="1"/>
  <c r="K111" i="1"/>
  <c r="N111" i="1" s="1"/>
  <c r="K398" i="1"/>
  <c r="N398" i="1" s="1"/>
  <c r="K286" i="1"/>
  <c r="N286" i="1" s="1"/>
  <c r="K183" i="1"/>
  <c r="P183" i="1" s="1"/>
  <c r="K261" i="1"/>
  <c r="N261" i="1" s="1"/>
  <c r="K30" i="1"/>
  <c r="N30" i="1" s="1"/>
  <c r="K57" i="1"/>
  <c r="N57" i="1" s="1"/>
  <c r="K285" i="1"/>
  <c r="P285" i="1" s="1"/>
  <c r="K365" i="1"/>
  <c r="N365" i="1" s="1"/>
  <c r="K113" i="1"/>
  <c r="N113" i="1" s="1"/>
  <c r="K240" i="1"/>
  <c r="N240" i="1" s="1"/>
  <c r="K203" i="1"/>
  <c r="K12" i="1"/>
  <c r="N12" i="1" s="1"/>
  <c r="K212" i="1"/>
  <c r="P212" i="1" s="1"/>
  <c r="K166" i="1"/>
  <c r="N166" i="1" s="1"/>
  <c r="K140" i="1"/>
  <c r="P140" i="1" s="1"/>
  <c r="K355" i="1"/>
  <c r="P355" i="1" s="1"/>
  <c r="K328" i="1"/>
  <c r="N328" i="1" s="1"/>
  <c r="K283" i="1"/>
  <c r="P283" i="1" s="1"/>
  <c r="K64" i="1"/>
  <c r="P64" i="1" s="1"/>
  <c r="K105" i="1"/>
  <c r="P105" i="1" s="1"/>
  <c r="K327" i="1"/>
  <c r="N327" i="1" s="1"/>
  <c r="K288" i="1"/>
  <c r="P288" i="1" s="1"/>
  <c r="K239" i="1"/>
  <c r="P239" i="1" s="1"/>
  <c r="K264" i="1"/>
  <c r="N264" i="1" s="1"/>
  <c r="K23" i="1"/>
  <c r="N23" i="1" s="1"/>
  <c r="K91" i="1"/>
  <c r="P91" i="1" s="1"/>
  <c r="K245" i="1"/>
  <c r="P245" i="1" s="1"/>
  <c r="K179" i="1"/>
  <c r="N179" i="1" s="1"/>
  <c r="K370" i="1"/>
  <c r="N370" i="1" s="1"/>
  <c r="K244" i="1"/>
  <c r="N244" i="1" s="1"/>
  <c r="K147" i="1"/>
  <c r="P147" i="1" s="1"/>
  <c r="K236" i="1"/>
  <c r="P236" i="1" s="1"/>
  <c r="K211" i="1"/>
  <c r="P211" i="1" s="1"/>
  <c r="K116" i="1"/>
  <c r="P116" i="1" s="1"/>
  <c r="K9" i="1"/>
  <c r="P9" i="1" s="1"/>
  <c r="K77" i="1"/>
  <c r="N77" i="1" s="1"/>
  <c r="K233" i="1"/>
  <c r="N233" i="1" s="1"/>
  <c r="K129" i="1"/>
  <c r="N129" i="1" s="1"/>
  <c r="K36" i="1"/>
  <c r="N36" i="1" s="1"/>
  <c r="K17" i="1"/>
  <c r="N17" i="1" s="1"/>
  <c r="K220" i="1"/>
  <c r="N220" i="1" s="1"/>
  <c r="K79" i="1"/>
  <c r="N79" i="1" s="1"/>
  <c r="K178" i="1"/>
  <c r="N178" i="1" s="1"/>
  <c r="K24" i="1"/>
  <c r="N24" i="1" s="1"/>
  <c r="K308" i="1"/>
  <c r="N308" i="1" s="1"/>
  <c r="K361" i="1"/>
  <c r="N361" i="1" s="1"/>
  <c r="K339" i="1"/>
  <c r="N339" i="1" s="1"/>
  <c r="K85" i="1"/>
  <c r="K234" i="1"/>
  <c r="K123" i="1"/>
  <c r="N123" i="1" s="1"/>
  <c r="K342" i="1"/>
  <c r="N342" i="1" s="1"/>
  <c r="K363" i="1"/>
  <c r="N363" i="1" s="1"/>
  <c r="K128" i="1"/>
  <c r="P128" i="1" s="1"/>
  <c r="K247" i="1"/>
  <c r="N247" i="1" s="1"/>
  <c r="K374" i="1"/>
  <c r="P374" i="1" s="1"/>
  <c r="K190" i="1"/>
  <c r="N190" i="1" s="1"/>
  <c r="K353" i="1"/>
  <c r="P353" i="1" s="1"/>
  <c r="K362" i="1"/>
  <c r="N362" i="1" s="1"/>
  <c r="K232" i="1"/>
  <c r="N232" i="1" s="1"/>
  <c r="K324" i="1"/>
  <c r="K21" i="1"/>
  <c r="K49" i="1"/>
  <c r="P49" i="1" s="1"/>
  <c r="K337" i="1"/>
  <c r="N337" i="1" s="1"/>
  <c r="K154" i="1"/>
  <c r="N154" i="1" s="1"/>
  <c r="K94" i="1"/>
  <c r="N94" i="1" s="1"/>
  <c r="K338" i="1"/>
  <c r="N338" i="1" s="1"/>
  <c r="K60" i="1"/>
  <c r="P60" i="1" s="1"/>
  <c r="K377" i="1"/>
  <c r="N377" i="1" s="1"/>
  <c r="K210" i="1"/>
  <c r="N210" i="1" s="1"/>
  <c r="K231" i="1"/>
  <c r="P231" i="1" s="1"/>
  <c r="K325" i="1"/>
  <c r="N325" i="1" s="1"/>
  <c r="K104" i="1"/>
  <c r="N104" i="1" s="1"/>
  <c r="K173" i="1"/>
  <c r="N173" i="1" s="1"/>
  <c r="K127" i="1"/>
  <c r="P127" i="1" s="1"/>
  <c r="K238" i="1"/>
  <c r="P238" i="1" s="1"/>
  <c r="K152" i="1"/>
  <c r="N152" i="1" s="1"/>
  <c r="K281" i="1"/>
  <c r="K384" i="1"/>
  <c r="K161" i="1"/>
  <c r="N161" i="1" s="1"/>
  <c r="K22" i="1"/>
  <c r="N22" i="1" s="1"/>
  <c r="K306" i="1"/>
  <c r="N306" i="1" s="1"/>
  <c r="K270" i="1"/>
  <c r="N270" i="1" s="1"/>
  <c r="K316" i="1"/>
  <c r="P316" i="1" s="1"/>
  <c r="K346" i="1"/>
  <c r="N346" i="1" s="1"/>
  <c r="K14" i="1"/>
  <c r="N14" i="1" s="1"/>
  <c r="K290" i="1"/>
  <c r="P290" i="1" s="1"/>
  <c r="K242" i="1"/>
  <c r="N242" i="1" s="1"/>
  <c r="K132" i="1"/>
  <c r="P132" i="1" s="1"/>
  <c r="K146" i="1"/>
  <c r="N146" i="1" s="1"/>
  <c r="K137" i="1"/>
  <c r="N137" i="1" s="1"/>
  <c r="K41" i="1"/>
  <c r="N41" i="1" s="1"/>
  <c r="K332" i="1"/>
  <c r="N332" i="1" s="1"/>
  <c r="K329" i="1"/>
  <c r="P329" i="1" s="1"/>
  <c r="K263" i="1"/>
  <c r="N263" i="1" s="1"/>
  <c r="K65" i="1"/>
  <c r="K158" i="1"/>
  <c r="K141" i="1"/>
  <c r="K396" i="1"/>
  <c r="N396" i="1" s="1"/>
  <c r="K299" i="1"/>
  <c r="N299" i="1" s="1"/>
  <c r="K201" i="1"/>
  <c r="P201" i="1" s="1"/>
  <c r="K260" i="1"/>
  <c r="N260" i="1" s="1"/>
  <c r="K39" i="1"/>
  <c r="N39" i="1" s="1"/>
  <c r="K189" i="1"/>
  <c r="N189" i="1" s="1"/>
  <c r="K251" i="1"/>
  <c r="P251" i="1" s="1"/>
  <c r="K45" i="1"/>
  <c r="N45" i="1" s="1"/>
  <c r="K199" i="1"/>
  <c r="P199" i="1" s="1"/>
  <c r="K229" i="1"/>
  <c r="N229" i="1" s="1"/>
  <c r="K322" i="1"/>
  <c r="N322" i="1" s="1"/>
  <c r="K75" i="1"/>
  <c r="N75" i="1" s="1"/>
  <c r="K295" i="1"/>
  <c r="N295" i="1" s="1"/>
  <c r="K82" i="1"/>
  <c r="K58" i="1"/>
  <c r="K320" i="1"/>
  <c r="N320" i="1" s="1"/>
  <c r="K314" i="1"/>
  <c r="P314" i="1" s="1"/>
  <c r="K364" i="1"/>
  <c r="N364" i="1" s="1"/>
  <c r="K40" i="1"/>
  <c r="N40" i="1" s="1"/>
  <c r="K19" i="1"/>
  <c r="P19" i="1" s="1"/>
  <c r="K392" i="1"/>
  <c r="N392" i="1" s="1"/>
  <c r="K268" i="1"/>
  <c r="N268" i="1" s="1"/>
  <c r="K274" i="1"/>
  <c r="N274" i="1" s="1"/>
  <c r="K88" i="1"/>
  <c r="N88" i="1" s="1"/>
  <c r="K358" i="1"/>
  <c r="N358" i="1" s="1"/>
  <c r="K180" i="1"/>
  <c r="N180" i="1" s="1"/>
  <c r="K95" i="1"/>
  <c r="N95" i="1" s="1"/>
  <c r="K309" i="1"/>
  <c r="P309" i="1" s="1"/>
  <c r="K380" i="1"/>
  <c r="P380" i="1" s="1"/>
  <c r="K8" i="1"/>
  <c r="N8" i="1" s="1"/>
  <c r="K226" i="1"/>
  <c r="N226" i="1" s="1"/>
  <c r="K177" i="1"/>
  <c r="N177" i="1" s="1"/>
  <c r="K78" i="1"/>
  <c r="P78" i="1" s="1"/>
  <c r="K227" i="1"/>
  <c r="N227" i="1" s="1"/>
  <c r="K279" i="1"/>
  <c r="K93" i="1"/>
  <c r="K223" i="1"/>
  <c r="N223" i="1" s="1"/>
  <c r="K139" i="1"/>
  <c r="N139" i="1" s="1"/>
  <c r="K254" i="1"/>
  <c r="N254" i="1" s="1"/>
  <c r="K87" i="1"/>
  <c r="N87" i="1" s="1"/>
  <c r="K106" i="1"/>
  <c r="N106" i="1" s="1"/>
  <c r="K225" i="1"/>
  <c r="N225" i="1" s="1"/>
  <c r="K118" i="1"/>
  <c r="N118" i="1" s="1"/>
  <c r="K165" i="1"/>
  <c r="N165" i="1" s="1"/>
  <c r="K92" i="1"/>
  <c r="N92" i="1" s="1"/>
  <c r="K222" i="1"/>
  <c r="N222" i="1" s="1"/>
  <c r="K340" i="1"/>
  <c r="K107" i="1"/>
  <c r="N107" i="1" s="1"/>
  <c r="K400" i="1"/>
  <c r="P400" i="1" s="1"/>
  <c r="K318" i="1"/>
  <c r="P318" i="1" s="1"/>
  <c r="K153" i="1"/>
  <c r="N153" i="1" s="1"/>
  <c r="K84" i="1"/>
  <c r="P84" i="1" s="1"/>
  <c r="K151" i="1"/>
  <c r="N151" i="1" s="1"/>
  <c r="K170" i="1"/>
  <c r="N170" i="1" s="1"/>
  <c r="K188" i="1"/>
  <c r="P188" i="1" s="1"/>
  <c r="K37" i="1"/>
  <c r="N37" i="1" s="1"/>
  <c r="K383" i="1"/>
  <c r="N383" i="1" s="1"/>
  <c r="K382" i="1"/>
  <c r="P382" i="1" s="1"/>
  <c r="K72" i="1"/>
  <c r="N72" i="1" s="1"/>
  <c r="K143" i="1"/>
  <c r="N143" i="1" s="1"/>
  <c r="K89" i="1"/>
  <c r="N89" i="1" s="1"/>
  <c r="K192" i="1"/>
  <c r="N192" i="1" s="1"/>
  <c r="K112" i="1"/>
  <c r="N112" i="1" s="1"/>
  <c r="K46" i="1"/>
  <c r="P46" i="1" s="1"/>
  <c r="K213" i="1"/>
  <c r="N213" i="1" s="1"/>
  <c r="K326" i="1"/>
  <c r="N326" i="1" s="1"/>
  <c r="K293" i="1"/>
  <c r="N293" i="1" s="1"/>
  <c r="K119" i="1"/>
  <c r="N119" i="1" s="1"/>
  <c r="K182" i="1"/>
  <c r="N182" i="1" s="1"/>
  <c r="K275" i="1"/>
  <c r="N275" i="1" s="1"/>
  <c r="K191" i="1"/>
  <c r="N191" i="1" s="1"/>
  <c r="K162" i="1"/>
  <c r="N162" i="1" s="1"/>
  <c r="K150" i="1"/>
  <c r="N150" i="1" s="1"/>
  <c r="K197" i="1"/>
  <c r="N197" i="1" s="1"/>
  <c r="K395" i="1"/>
  <c r="N395" i="1" s="1"/>
  <c r="K378" i="1"/>
  <c r="N378" i="1" s="1"/>
  <c r="K52" i="1"/>
  <c r="N52" i="1" s="1"/>
  <c r="K357" i="1"/>
  <c r="N357" i="1" s="1"/>
  <c r="K366" i="1"/>
  <c r="N366" i="1" s="1"/>
  <c r="K297" i="1"/>
  <c r="N297" i="1" s="1"/>
  <c r="K157" i="1"/>
  <c r="N157" i="1" s="1"/>
  <c r="K74" i="1"/>
  <c r="N74" i="1" s="1"/>
  <c r="K335" i="1"/>
  <c r="N335" i="1" s="1"/>
  <c r="K243" i="1"/>
  <c r="N243" i="1" s="1"/>
  <c r="K368" i="1"/>
  <c r="N368" i="1" s="1"/>
  <c r="K27" i="1"/>
  <c r="P27" i="1" s="1"/>
  <c r="K267" i="1"/>
  <c r="N267" i="1" s="1"/>
  <c r="K344" i="1"/>
  <c r="P344" i="1" s="1"/>
  <c r="K221" i="1"/>
  <c r="P221" i="1" s="1"/>
  <c r="K15" i="1"/>
  <c r="N15" i="1" s="1"/>
  <c r="K200" i="1"/>
  <c r="N200" i="1" s="1"/>
  <c r="K349" i="1"/>
  <c r="N349" i="1" s="1"/>
  <c r="K228" i="1"/>
  <c r="N228" i="1" s="1"/>
  <c r="K5" i="1"/>
  <c r="N5" i="1" s="1"/>
  <c r="K42" i="1"/>
  <c r="N42" i="1" s="1"/>
  <c r="K217" i="1"/>
  <c r="N217" i="1" s="1"/>
  <c r="K16" i="1"/>
  <c r="P16" i="1" s="1"/>
  <c r="K172" i="1"/>
  <c r="P172" i="1" s="1"/>
  <c r="K321" i="1"/>
  <c r="N321" i="1" s="1"/>
  <c r="K397" i="1"/>
  <c r="P397" i="1" s="1"/>
  <c r="K38" i="1"/>
  <c r="N38" i="1" s="1"/>
  <c r="K216" i="1"/>
  <c r="P216" i="1" s="1"/>
  <c r="K136" i="1"/>
  <c r="N136" i="1" s="1"/>
  <c r="K171" i="1"/>
  <c r="N171" i="1" s="1"/>
  <c r="K198" i="1"/>
  <c r="N198" i="1" s="1"/>
  <c r="K81" i="1"/>
  <c r="N81" i="1" s="1"/>
  <c r="K134" i="1"/>
  <c r="N134" i="1" s="1"/>
  <c r="K369" i="1"/>
  <c r="N369" i="1" s="1"/>
  <c r="K389" i="1"/>
  <c r="N389" i="1" s="1"/>
  <c r="K204" i="1"/>
  <c r="N204" i="1" s="1"/>
  <c r="K348" i="1"/>
  <c r="K303" i="1"/>
  <c r="N303" i="1" s="1"/>
  <c r="K323" i="1"/>
  <c r="N323" i="1" s="1"/>
  <c r="K313" i="1"/>
  <c r="N313" i="1" s="1"/>
  <c r="K169" i="1"/>
  <c r="N169" i="1" s="1"/>
  <c r="K108" i="1"/>
  <c r="N108" i="1" s="1"/>
  <c r="K301" i="1"/>
  <c r="K163" i="1"/>
  <c r="P163" i="1" s="1"/>
  <c r="K34" i="1"/>
  <c r="N34" i="1" s="1"/>
  <c r="K149" i="1"/>
  <c r="N149" i="1" s="1"/>
  <c r="K294" i="1"/>
  <c r="P294" i="1" s="1"/>
  <c r="K385" i="1"/>
  <c r="N385" i="1" s="1"/>
  <c r="K379" i="1"/>
  <c r="N379" i="1" s="1"/>
  <c r="K102" i="1"/>
  <c r="N102" i="1" s="1"/>
  <c r="K230" i="1"/>
  <c r="P230" i="1" s="1"/>
  <c r="K20" i="1"/>
  <c r="N20" i="1" s="1"/>
  <c r="K185" i="1"/>
  <c r="N185" i="1" s="1"/>
  <c r="K262" i="1"/>
  <c r="N262" i="1" s="1"/>
  <c r="K194" i="1"/>
  <c r="P194" i="1" s="1"/>
  <c r="K26" i="1"/>
  <c r="N26" i="1" s="1"/>
  <c r="K184" i="1"/>
  <c r="N184" i="1" s="1"/>
  <c r="K6" i="1"/>
  <c r="N6" i="1" s="1"/>
  <c r="K114" i="1"/>
  <c r="K195" i="1"/>
  <c r="N195" i="1" s="1"/>
  <c r="K206" i="1"/>
  <c r="N206" i="1" s="1"/>
  <c r="K307" i="1"/>
  <c r="P307" i="1" s="1"/>
  <c r="K56" i="1"/>
  <c r="N56" i="1" s="1"/>
  <c r="K66" i="1"/>
  <c r="N66" i="1" s="1"/>
  <c r="K86" i="1"/>
  <c r="N86" i="1" s="1"/>
  <c r="K250" i="1"/>
  <c r="N250" i="1" s="1"/>
  <c r="K282" i="1"/>
  <c r="N282" i="1" s="1"/>
  <c r="K148" i="1"/>
  <c r="N148" i="1" s="1"/>
  <c r="K376" i="1"/>
  <c r="N376" i="1" s="1"/>
  <c r="K3" i="1"/>
  <c r="N3" i="1" s="1"/>
  <c r="K381" i="1"/>
  <c r="P381" i="1" s="1"/>
  <c r="K343" i="1"/>
  <c r="P343" i="1" s="1"/>
  <c r="K70" i="1"/>
  <c r="N70" i="1" s="1"/>
  <c r="K354" i="1"/>
  <c r="N354" i="1" s="1"/>
  <c r="K11" i="1"/>
  <c r="N11" i="1" s="1"/>
  <c r="K25" i="1"/>
  <c r="N25" i="1" s="1"/>
  <c r="K13" i="1"/>
  <c r="P13" i="1" s="1"/>
  <c r="K167" i="1"/>
  <c r="P167" i="1" s="1"/>
  <c r="K310" i="1"/>
  <c r="N310" i="1" s="1"/>
  <c r="K351" i="1"/>
  <c r="N351" i="1" s="1"/>
  <c r="K51" i="1"/>
  <c r="N51" i="1" s="1"/>
  <c r="K336" i="1"/>
  <c r="N336" i="1" s="1"/>
  <c r="K334" i="1"/>
  <c r="N334" i="1" s="1"/>
  <c r="K276" i="1"/>
  <c r="P276" i="1" s="1"/>
  <c r="K356" i="1"/>
  <c r="N356" i="1" s="1"/>
  <c r="K18" i="1"/>
  <c r="N18" i="1" s="1"/>
  <c r="K393" i="1"/>
  <c r="N393" i="1" s="1"/>
  <c r="K248" i="1"/>
  <c r="N248" i="1" s="1"/>
  <c r="K100" i="1"/>
  <c r="N100" i="1" s="1"/>
  <c r="K133" i="1"/>
  <c r="N133" i="1" s="1"/>
  <c r="K300" i="1"/>
  <c r="N300" i="1" s="1"/>
  <c r="K155" i="1"/>
  <c r="N155" i="1" s="1"/>
  <c r="K207" i="1"/>
  <c r="P207" i="1" s="1"/>
  <c r="K145" i="1"/>
  <c r="N145" i="1" s="1"/>
  <c r="K214" i="1"/>
  <c r="N214" i="1" s="1"/>
  <c r="K402" i="1"/>
  <c r="P402" i="1" s="1"/>
  <c r="K53" i="1"/>
  <c r="P53" i="1" s="1"/>
  <c r="K208" i="1"/>
  <c r="K272" i="1"/>
  <c r="K399" i="1"/>
  <c r="P399" i="1" s="1"/>
  <c r="K175" i="1"/>
  <c r="N175" i="1" s="1"/>
  <c r="K159" i="1"/>
  <c r="N159" i="1" s="1"/>
  <c r="K249" i="1"/>
  <c r="N249" i="1" s="1"/>
  <c r="K135" i="1"/>
  <c r="P135" i="1" s="1"/>
  <c r="K292" i="1"/>
  <c r="N292" i="1" s="1"/>
  <c r="K284" i="1"/>
  <c r="N284" i="1" s="1"/>
  <c r="K319" i="1"/>
  <c r="P319" i="1" s="1"/>
  <c r="K193" i="1"/>
  <c r="P193" i="1" s="1"/>
  <c r="K138" i="1"/>
  <c r="P138" i="1" s="1"/>
  <c r="N277" i="1" l="1"/>
  <c r="P277" i="1" s="1"/>
  <c r="N164" i="1"/>
  <c r="P164" i="1" s="1"/>
  <c r="N7" i="1"/>
  <c r="P7" i="1" s="1"/>
  <c r="P253" i="1"/>
  <c r="P284" i="1"/>
  <c r="P292" i="1"/>
  <c r="P249" i="1"/>
  <c r="P159" i="1"/>
  <c r="P175" i="1"/>
  <c r="P272" i="1"/>
  <c r="P208" i="1"/>
  <c r="P214" i="1"/>
  <c r="P145" i="1"/>
  <c r="P155" i="1"/>
  <c r="P300" i="1"/>
  <c r="P133" i="1"/>
  <c r="P100" i="1"/>
  <c r="P248" i="1"/>
  <c r="P393" i="1"/>
  <c r="P18" i="1"/>
  <c r="P356" i="1"/>
  <c r="P334" i="1"/>
  <c r="P336" i="1"/>
  <c r="P51" i="1"/>
  <c r="P351" i="1"/>
  <c r="P310" i="1"/>
  <c r="P25" i="1"/>
  <c r="P11" i="1"/>
  <c r="P354" i="1"/>
  <c r="P70" i="1"/>
  <c r="P3" i="1"/>
  <c r="P376" i="1"/>
  <c r="P148" i="1"/>
  <c r="P282" i="1"/>
  <c r="P250" i="1"/>
  <c r="P86" i="1"/>
  <c r="P66" i="1"/>
  <c r="P56" i="1"/>
  <c r="P206" i="1"/>
  <c r="P195" i="1"/>
  <c r="P114" i="1"/>
  <c r="P6" i="1"/>
  <c r="P184" i="1"/>
  <c r="P26" i="1"/>
  <c r="P262" i="1"/>
  <c r="P185" i="1"/>
  <c r="P20" i="1"/>
  <c r="P102" i="1"/>
  <c r="P379" i="1"/>
  <c r="P385" i="1"/>
  <c r="P149" i="1"/>
  <c r="P34" i="1"/>
  <c r="P108" i="1"/>
  <c r="P169" i="1"/>
  <c r="P313" i="1"/>
  <c r="P323" i="1"/>
  <c r="P303" i="1"/>
  <c r="P348" i="1"/>
  <c r="P204" i="1"/>
  <c r="P389" i="1"/>
  <c r="P369" i="1"/>
  <c r="P134" i="1"/>
  <c r="P81" i="1"/>
  <c r="P198" i="1"/>
  <c r="P171" i="1"/>
  <c r="P136" i="1"/>
  <c r="P38" i="1"/>
  <c r="P321" i="1"/>
  <c r="P217" i="1"/>
  <c r="P42" i="1"/>
  <c r="P5" i="1"/>
  <c r="P228" i="1"/>
  <c r="P349" i="1"/>
  <c r="P200" i="1"/>
  <c r="P15" i="1"/>
  <c r="P267" i="1"/>
  <c r="P368" i="1"/>
  <c r="P243" i="1"/>
  <c r="P335" i="1"/>
  <c r="P74" i="1"/>
  <c r="P157" i="1"/>
  <c r="P297" i="1"/>
  <c r="P366" i="1"/>
  <c r="P357" i="1"/>
  <c r="P52" i="1"/>
  <c r="P378" i="1"/>
  <c r="P395" i="1"/>
  <c r="P197" i="1"/>
  <c r="P150" i="1"/>
  <c r="P162" i="1"/>
  <c r="P191" i="1"/>
  <c r="P275" i="1"/>
  <c r="P182" i="1"/>
  <c r="P119" i="1"/>
  <c r="P293" i="1"/>
  <c r="P326" i="1"/>
  <c r="P213" i="1"/>
  <c r="P112" i="1"/>
  <c r="P192" i="1"/>
  <c r="P89" i="1"/>
  <c r="P143" i="1"/>
  <c r="P72" i="1"/>
  <c r="P383" i="1"/>
  <c r="P37" i="1"/>
  <c r="P170" i="1"/>
  <c r="P151" i="1"/>
  <c r="P153" i="1"/>
  <c r="P107" i="1"/>
  <c r="P340" i="1"/>
  <c r="P222" i="1"/>
  <c r="P92" i="1"/>
  <c r="P165" i="1"/>
  <c r="P118" i="1"/>
  <c r="P225" i="1"/>
  <c r="P106" i="1"/>
  <c r="P87" i="1"/>
  <c r="P254" i="1"/>
  <c r="P139" i="1"/>
  <c r="P223" i="1"/>
  <c r="P93" i="1"/>
  <c r="P279" i="1"/>
  <c r="P227" i="1"/>
  <c r="P177" i="1"/>
  <c r="P226" i="1"/>
  <c r="P8" i="1"/>
  <c r="P95" i="1"/>
  <c r="P180" i="1"/>
  <c r="P358" i="1"/>
  <c r="P88" i="1"/>
  <c r="P274" i="1"/>
  <c r="P268" i="1"/>
  <c r="P392" i="1"/>
  <c r="P40" i="1"/>
  <c r="P364" i="1"/>
  <c r="P320" i="1"/>
  <c r="P58" i="1"/>
  <c r="P82" i="1"/>
  <c r="P295" i="1"/>
  <c r="P75" i="1"/>
  <c r="P322" i="1"/>
  <c r="P229" i="1"/>
  <c r="P45" i="1"/>
  <c r="P189" i="1"/>
  <c r="P39" i="1"/>
  <c r="P260" i="1"/>
  <c r="P299" i="1"/>
  <c r="P396" i="1"/>
  <c r="P141" i="1"/>
  <c r="P158" i="1"/>
  <c r="P65" i="1"/>
  <c r="P263" i="1"/>
  <c r="P332" i="1"/>
  <c r="P41" i="1"/>
  <c r="P137" i="1"/>
  <c r="P146" i="1"/>
  <c r="P242" i="1"/>
  <c r="P14" i="1"/>
  <c r="P346" i="1"/>
  <c r="P270" i="1"/>
  <c r="P306" i="1"/>
  <c r="P22" i="1"/>
  <c r="P161" i="1"/>
  <c r="P384" i="1"/>
  <c r="P281" i="1"/>
  <c r="P152" i="1"/>
  <c r="P173" i="1"/>
  <c r="P104" i="1"/>
  <c r="P325" i="1"/>
  <c r="P210" i="1"/>
  <c r="P377" i="1"/>
  <c r="P338" i="1"/>
  <c r="P94" i="1"/>
  <c r="P154" i="1"/>
  <c r="P337" i="1"/>
  <c r="P21" i="1"/>
  <c r="P324" i="1"/>
  <c r="P232" i="1"/>
  <c r="P362" i="1"/>
  <c r="P190" i="1"/>
  <c r="P247" i="1"/>
  <c r="P363" i="1"/>
  <c r="P342" i="1"/>
  <c r="P123" i="1"/>
  <c r="P234" i="1"/>
  <c r="P85" i="1"/>
  <c r="P339" i="1"/>
  <c r="P361" i="1"/>
  <c r="P308" i="1"/>
  <c r="P24" i="1"/>
  <c r="P178" i="1"/>
  <c r="P79" i="1"/>
  <c r="P220" i="1"/>
  <c r="P17" i="1"/>
  <c r="P36" i="1"/>
  <c r="P129" i="1"/>
  <c r="P233" i="1"/>
  <c r="P77" i="1"/>
  <c r="P244" i="1"/>
  <c r="P370" i="1"/>
  <c r="P179" i="1"/>
  <c r="P23" i="1"/>
  <c r="P264" i="1"/>
  <c r="P327" i="1"/>
  <c r="P328" i="1"/>
  <c r="P166" i="1"/>
  <c r="P12" i="1"/>
  <c r="P203" i="1"/>
  <c r="P240" i="1"/>
  <c r="P113" i="1"/>
  <c r="P365" i="1"/>
  <c r="P57" i="1"/>
  <c r="P30" i="1"/>
  <c r="P261" i="1"/>
  <c r="P286" i="1"/>
  <c r="P398" i="1"/>
  <c r="P111" i="1"/>
  <c r="P176" i="1"/>
  <c r="P187" i="1"/>
  <c r="P69" i="1"/>
  <c r="P120" i="1"/>
  <c r="P341" i="1"/>
  <c r="P298" i="1"/>
  <c r="P372" i="1"/>
  <c r="P302" i="1"/>
  <c r="P350" i="1"/>
  <c r="P391" i="1"/>
  <c r="P31" i="1"/>
  <c r="P304" i="1"/>
  <c r="P109" i="1"/>
  <c r="P256" i="1"/>
  <c r="P4" i="1"/>
  <c r="P265" i="1"/>
  <c r="P32" i="1"/>
  <c r="P115" i="1"/>
  <c r="P71" i="1"/>
  <c r="P29" i="1"/>
  <c r="P142" i="1"/>
  <c r="P257" i="1"/>
  <c r="P215" i="1"/>
  <c r="P28" i="1"/>
  <c r="P110" i="1"/>
  <c r="P44" i="1"/>
  <c r="P99" i="1"/>
  <c r="P50" i="1"/>
  <c r="P61" i="1"/>
  <c r="P387" i="1"/>
  <c r="P330" i="1"/>
  <c r="P258" i="1"/>
  <c r="P48" i="1"/>
  <c r="P373" i="1"/>
  <c r="P266" i="1"/>
  <c r="P271" i="1"/>
  <c r="P117" i="1"/>
  <c r="P252" i="1"/>
  <c r="P122" i="1"/>
  <c r="P273" i="1"/>
  <c r="P386" i="1"/>
  <c r="P296" i="1"/>
  <c r="P160" i="1"/>
  <c r="P269" i="1"/>
  <c r="P352" i="1"/>
  <c r="P224" i="1"/>
  <c r="P67" i="1"/>
  <c r="P259" i="1"/>
  <c r="P394" i="1"/>
  <c r="P205" i="1"/>
  <c r="P255" i="1"/>
  <c r="P315" i="1"/>
  <c r="P390" i="1"/>
  <c r="P291" i="1"/>
  <c r="P375" i="1"/>
  <c r="P235" i="1"/>
  <c r="P103" i="1"/>
  <c r="P218" i="1"/>
  <c r="P202" i="1"/>
  <c r="P181" i="1"/>
  <c r="P144" i="1"/>
  <c r="P101" i="1"/>
  <c r="P62" i="1"/>
  <c r="P347" i="1"/>
  <c r="P131" i="1"/>
  <c r="P237" i="1"/>
  <c r="P246" i="1"/>
  <c r="P209" i="1"/>
  <c r="P63" i="1"/>
  <c r="P186" i="1"/>
  <c r="P287" i="1"/>
  <c r="P126" i="1"/>
  <c r="P196" i="1"/>
  <c r="P331" i="1"/>
  <c r="P278" i="1"/>
  <c r="P345" i="1"/>
  <c r="P311" i="1"/>
  <c r="P98" i="1"/>
  <c r="P301" i="1"/>
  <c r="P43" i="1"/>
</calcChain>
</file>

<file path=xl/sharedStrings.xml><?xml version="1.0" encoding="utf-8"?>
<sst xmlns="http://schemas.openxmlformats.org/spreadsheetml/2006/main" count="5336" uniqueCount="1084">
  <si>
    <t>Tabela de Produtos da cafeteria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</si>
  <si>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</si>
  <si>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</si>
  <si>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</si>
  <si>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</si>
  <si>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</si>
  <si>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</si>
  <si>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</si>
  <si>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</si>
  <si>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</si>
  <si>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</si>
  <si>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</si>
  <si>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</t>
  </si>
  <si>
    <t>Funcionario</t>
  </si>
  <si>
    <t>Produto</t>
  </si>
  <si>
    <t>Vendas</t>
  </si>
  <si>
    <t>Resultado</t>
  </si>
  <si>
    <t>Fredolino</t>
  </si>
  <si>
    <t>Impressora</t>
  </si>
  <si>
    <t>Arquibaldo</t>
  </si>
  <si>
    <t>Gabinete</t>
  </si>
  <si>
    <t>Cheropita</t>
  </si>
  <si>
    <t>Teclado</t>
  </si>
  <si>
    <t>Clarisbadeu</t>
  </si>
  <si>
    <t>Disquete</t>
  </si>
  <si>
    <t>Abrilina</t>
  </si>
  <si>
    <t>Mouse</t>
  </si>
  <si>
    <t>Aldegunda</t>
  </si>
  <si>
    <t>Monitor</t>
  </si>
  <si>
    <t>Notas Escolares</t>
  </si>
  <si>
    <t>RA</t>
  </si>
  <si>
    <t>Nome de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</si>
  <si>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</si>
  <si>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</si>
  <si>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</si>
  <si>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</si>
  <si>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</si>
  <si>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</si>
  <si>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</si>
  <si>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</si>
  <si>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</si>
  <si>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Nome</t>
  </si>
  <si>
    <t>Idade</t>
  </si>
  <si>
    <t>Ensino Médio</t>
  </si>
  <si>
    <t>Curso técnico</t>
  </si>
  <si>
    <t>Anos de experiência na área</t>
  </si>
  <si>
    <t>Situação</t>
  </si>
  <si>
    <t>Alfa Romeu Julia</t>
  </si>
  <si>
    <t>Não</t>
  </si>
  <si>
    <t>Sim</t>
  </si>
  <si>
    <t>Fusclaudia de Oliveira</t>
  </si>
  <si>
    <t>Unotavio dos Santos</t>
  </si>
  <si>
    <t>Nissan Silvia</t>
  </si>
  <si>
    <t>Ferrari Enzo</t>
  </si>
  <si>
    <t>Requisitos para ser contratdo</t>
  </si>
  <si>
    <t>Ter idade maior ou igual a 18 anos</t>
  </si>
  <si>
    <t>Ter ensino médio completo</t>
  </si>
  <si>
    <t>Ter curso de vendedor</t>
  </si>
  <si>
    <t>Ter no mínimo 3 anos de experiência na área</t>
  </si>
  <si>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</si>
  <si>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</si>
  <si>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</si>
  <si>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</si>
  <si>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</si>
  <si>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</si>
  <si>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</si>
  <si>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</si>
  <si>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</si>
  <si>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</si>
  <si>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</si>
  <si>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</si>
  <si>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valor_solicitado</t>
  </si>
  <si>
    <t>Ativo</t>
  </si>
  <si>
    <t>Ellaria Baelish</t>
  </si>
  <si>
    <t>000.000.336-00</t>
  </si>
  <si>
    <t>Ninho da Águia</t>
  </si>
  <si>
    <t>Vale</t>
  </si>
  <si>
    <t>Inativo</t>
  </si>
  <si>
    <t>Stannis Lannister</t>
  </si>
  <si>
    <t>Ponta Tempestade</t>
  </si>
  <si>
    <t>Terras da Tempestade</t>
  </si>
  <si>
    <t>11000 moedas</t>
  </si>
  <si>
    <t>Asha Hornwood</t>
  </si>
  <si>
    <t>000.000.363-00</t>
  </si>
  <si>
    <t>Pedra do Dragão</t>
  </si>
  <si>
    <t>Terras da Coroa</t>
  </si>
  <si>
    <t>21500 moedas</t>
  </si>
  <si>
    <t>N/A</t>
  </si>
  <si>
    <t>não</t>
  </si>
  <si>
    <t>Jorah Dondarrion</t>
  </si>
  <si>
    <t>000.000.210-00</t>
  </si>
  <si>
    <t>Pyke | Ilhas de Ferro</t>
  </si>
  <si>
    <t>10400 moedas</t>
  </si>
  <si>
    <t>Jojen Florent</t>
  </si>
  <si>
    <t>000.000.321-00</t>
  </si>
  <si>
    <t>vale</t>
  </si>
  <si>
    <t>Olenna Baelish</t>
  </si>
  <si>
    <t>000.000.191-00</t>
  </si>
  <si>
    <t>Lannisporto</t>
  </si>
  <si>
    <t>3500 moedas</t>
  </si>
  <si>
    <t>ATIVO</t>
  </si>
  <si>
    <t>Brienne Manderly</t>
  </si>
  <si>
    <t>000.000.076-00</t>
  </si>
  <si>
    <t>Oeste</t>
  </si>
  <si>
    <t>8600 moedas</t>
  </si>
  <si>
    <t>yara targaryen</t>
  </si>
  <si>
    <t>000.000.059-00</t>
  </si>
  <si>
    <t>Pyke</t>
  </si>
  <si>
    <t>Ilhas De Ferro</t>
  </si>
  <si>
    <t>18200 moedas</t>
  </si>
  <si>
    <t>31000 moedas</t>
  </si>
  <si>
    <t>Margaery Tarly</t>
  </si>
  <si>
    <t>000.000.274-00</t>
  </si>
  <si>
    <t>ilhas de ferro</t>
  </si>
  <si>
    <t>Viserys Seaworth</t>
  </si>
  <si>
    <t>000.000.024-00</t>
  </si>
  <si>
    <t>Meereen</t>
  </si>
  <si>
    <t>Essos</t>
  </si>
  <si>
    <t>23000 moedas</t>
  </si>
  <si>
    <t>Tormund  Cerwyn</t>
  </si>
  <si>
    <t>000.000.039-00</t>
  </si>
  <si>
    <t>catelyn westerling</t>
  </si>
  <si>
    <t>Braavos</t>
  </si>
  <si>
    <t>19500 moedas</t>
  </si>
  <si>
    <t>Robb Baratheon</t>
  </si>
  <si>
    <t>000.000.365-00</t>
  </si>
  <si>
    <t>Asha Tallhart</t>
  </si>
  <si>
    <t>Ilhas de Ferro</t>
  </si>
  <si>
    <t>17600 moedas</t>
  </si>
  <si>
    <t>Missandei Tarly</t>
  </si>
  <si>
    <t>TERRAS DA TEMPESTADE</t>
  </si>
  <si>
    <t>Jeor Mallister</t>
  </si>
  <si>
    <t>000.000.162-00</t>
  </si>
  <si>
    <t>Correrrio</t>
  </si>
  <si>
    <t>Terras Fluviais</t>
  </si>
  <si>
    <t>Eddard Crakehall</t>
  </si>
  <si>
    <t>Castelo Negro</t>
  </si>
  <si>
    <t>Norte</t>
  </si>
  <si>
    <t>5500 moedas</t>
  </si>
  <si>
    <t>Podrick Swyft</t>
  </si>
  <si>
    <t>000.000.090-00</t>
  </si>
  <si>
    <t>TERRAS FLUVIAIS</t>
  </si>
  <si>
    <t>Podrick Dayne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</si>
  <si>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</si>
  <si>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</si>
  <si>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</si>
  <si>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</si>
  <si>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</si>
  <si>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</si>
  <si>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</si>
  <si>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NORTE</t>
  </si>
  <si>
    <t>Robert Karstark</t>
  </si>
  <si>
    <t>000.000.184-00</t>
  </si>
  <si>
    <t>rhaegar stark</t>
  </si>
  <si>
    <t>000.000.119-00</t>
  </si>
  <si>
    <t>Loras Greyjoy</t>
  </si>
  <si>
    <t>000.000.362-00</t>
  </si>
  <si>
    <t>Fosso Cailin</t>
  </si>
  <si>
    <t>Jorah Hightower</t>
  </si>
  <si>
    <t>000.000.346-00</t>
  </si>
  <si>
    <t>TERRAS DA COROA</t>
  </si>
  <si>
    <t>1 batalhas</t>
  </si>
  <si>
    <t>Loras Clegane</t>
  </si>
  <si>
    <t>000.000.287-00</t>
  </si>
  <si>
    <t>Harrenhal</t>
  </si>
  <si>
    <t>Winterfell</t>
  </si>
  <si>
    <t>samwell yronwood</t>
  </si>
  <si>
    <t>000.000.124-00</t>
  </si>
  <si>
    <t>Jardim de Cima</t>
  </si>
  <si>
    <t>Ativoo</t>
  </si>
  <si>
    <t>Catelyn Yronwood</t>
  </si>
  <si>
    <t>000.000.226-00</t>
  </si>
  <si>
    <t>norte</t>
  </si>
  <si>
    <t>Brienne Reed</t>
  </si>
  <si>
    <t>000.000.306-00</t>
  </si>
  <si>
    <t>Rhaegar Umber</t>
  </si>
  <si>
    <t>000.000.247-00</t>
  </si>
  <si>
    <t>sim</t>
  </si>
  <si>
    <t>Roose Manderly</t>
  </si>
  <si>
    <t>Dorne</t>
  </si>
  <si>
    <t>sem renda</t>
  </si>
  <si>
    <t>Jeor Florent</t>
  </si>
  <si>
    <t>000.000.249-00</t>
  </si>
  <si>
    <t>terras da tempestade</t>
  </si>
  <si>
    <t>Bran Yronwood</t>
  </si>
  <si>
    <t>000.000.057-00</t>
  </si>
  <si>
    <t>Nao</t>
  </si>
  <si>
    <t>BRONN ARRYN</t>
  </si>
  <si>
    <t>000.000.016-00</t>
  </si>
  <si>
    <t>oeste</t>
  </si>
  <si>
    <t>Shae Clegane</t>
  </si>
  <si>
    <t>000.000.205-00</t>
  </si>
  <si>
    <t>Ramsay Hornwood</t>
  </si>
  <si>
    <t>000.000.005-00</t>
  </si>
  <si>
    <t>23400 moedas</t>
  </si>
  <si>
    <t>MEERA PAYNE</t>
  </si>
  <si>
    <t>000.000.131-00</t>
  </si>
  <si>
    <t>DORNE</t>
  </si>
  <si>
    <t>MELISANDRE BARATHEON</t>
  </si>
  <si>
    <t>000.000.364-00</t>
  </si>
  <si>
    <t>27 batalhas</t>
  </si>
  <si>
    <t>Podrick Targaryen</t>
  </si>
  <si>
    <t>000.000.050-00</t>
  </si>
  <si>
    <t>29900 moedas</t>
  </si>
  <si>
    <t>Margaery Manderly</t>
  </si>
  <si>
    <t>000.000.222-00</t>
  </si>
  <si>
    <t>Daenerys Seaworth</t>
  </si>
  <si>
    <t>000.000.341-00</t>
  </si>
  <si>
    <t>CAMPINA</t>
  </si>
  <si>
    <t>000.000.140-00</t>
  </si>
  <si>
    <t>Fosso Cailin | Norte</t>
  </si>
  <si>
    <t>Jorah Redwyne</t>
  </si>
  <si>
    <t>Monte Chifre</t>
  </si>
  <si>
    <t>campina</t>
  </si>
  <si>
    <t>Margaery  Hornwood</t>
  </si>
  <si>
    <t>Arya Redwyne</t>
  </si>
  <si>
    <t>000.000.333-00</t>
  </si>
  <si>
    <t>3800 moedas</t>
  </si>
  <si>
    <t>VARYS BRACKEN</t>
  </si>
  <si>
    <t>000.000.215-00</t>
  </si>
  <si>
    <t>Porto Real</t>
  </si>
  <si>
    <t>2000 moedas</t>
  </si>
  <si>
    <t>Brienne Royce</t>
  </si>
  <si>
    <t>23500 moedas</t>
  </si>
  <si>
    <t>Rickon Redwyne</t>
  </si>
  <si>
    <t>Tormund Karstark</t>
  </si>
  <si>
    <t>000.000.284-00</t>
  </si>
  <si>
    <t>Bran Dayne</t>
  </si>
  <si>
    <t>000.000.288-00</t>
  </si>
  <si>
    <t>4500 moedas</t>
  </si>
  <si>
    <t>000.000.294-00</t>
  </si>
  <si>
    <t>Aegon Frey</t>
  </si>
  <si>
    <t>000.000.338-00</t>
  </si>
  <si>
    <t>11100 moedas</t>
  </si>
  <si>
    <t>Daenerys Snow</t>
  </si>
  <si>
    <t>Dorne | Dorne</t>
  </si>
  <si>
    <t>Asha Baratheon</t>
  </si>
  <si>
    <t>000.000.195-00</t>
  </si>
  <si>
    <t>Rickon Crakehall</t>
  </si>
  <si>
    <t>000.000.066-00</t>
  </si>
  <si>
    <t>Atalaia da Água Cinzenta</t>
  </si>
  <si>
    <t>gargalo</t>
  </si>
  <si>
    <t>NÃO</t>
  </si>
  <si>
    <t>Eddard Mallister</t>
  </si>
  <si>
    <t>000.000.309-00</t>
  </si>
  <si>
    <t>GARGALO</t>
  </si>
  <si>
    <t>Daario Clegane</t>
  </si>
  <si>
    <t>000.000.270-00</t>
  </si>
  <si>
    <t>38 batalhas</t>
  </si>
  <si>
    <t>Ellaria Mallister</t>
  </si>
  <si>
    <t>000.000.194-00</t>
  </si>
  <si>
    <t>Stannis  Cerwyn</t>
  </si>
  <si>
    <t>ELLARIA TARLY</t>
  </si>
  <si>
    <t>000.000.026-00</t>
  </si>
  <si>
    <t>ESSOS</t>
  </si>
  <si>
    <t>ativo</t>
  </si>
  <si>
    <t>Daario Tyrell</t>
  </si>
  <si>
    <t>000.000.251-00</t>
  </si>
  <si>
    <t>Daario Marbrand</t>
  </si>
  <si>
    <t>000.000.014-00</t>
  </si>
  <si>
    <t>46 anos</t>
  </si>
  <si>
    <t>Thoros Tarth</t>
  </si>
  <si>
    <t>ILHAS DE FERRO</t>
  </si>
  <si>
    <t>Arya Marbrand</t>
  </si>
  <si>
    <t>000.000.133-00</t>
  </si>
  <si>
    <t>Davos Tyrell</t>
  </si>
  <si>
    <t>28 batalhas</t>
  </si>
  <si>
    <t>Lyanna Florent</t>
  </si>
  <si>
    <t>Varys Bolton</t>
  </si>
  <si>
    <t>Shae Seaworth</t>
  </si>
  <si>
    <t>000.000.030-00</t>
  </si>
  <si>
    <t>essos</t>
  </si>
  <si>
    <t>Jojen Reed</t>
  </si>
  <si>
    <t>000.000.136-00</t>
  </si>
  <si>
    <t>20000 moedas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</si>
  <si>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</si>
  <si>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</si>
  <si>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</si>
  <si>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</si>
  <si>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</si>
  <si>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</si>
  <si>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</si>
  <si>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</si>
  <si>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</si>
  <si>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</si>
  <si>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  Reed</t>
  </si>
  <si>
    <t>000.000.311-00</t>
  </si>
  <si>
    <t>Daenerys Tallhart</t>
  </si>
  <si>
    <t>000.000.092-00</t>
  </si>
  <si>
    <t>Lyanna Marbrand</t>
  </si>
  <si>
    <t>000.000.283-00</t>
  </si>
  <si>
    <t>22000 moedas</t>
  </si>
  <si>
    <t>Ramsay Dondarrion</t>
  </si>
  <si>
    <t>000.000.054-00</t>
  </si>
  <si>
    <t>dorne</t>
  </si>
  <si>
    <t>Thoros  Baelish</t>
  </si>
  <si>
    <t>000.000.011-00</t>
  </si>
  <si>
    <t>Melisandre Blackwood</t>
  </si>
  <si>
    <t>000.000.051-00</t>
  </si>
  <si>
    <t>Yara Baelish</t>
  </si>
  <si>
    <t>Solar do Entardecer</t>
  </si>
  <si>
    <t>Terras Da Tempestade</t>
  </si>
  <si>
    <t>Cersei Stark</t>
  </si>
  <si>
    <t>000.000.293-00</t>
  </si>
  <si>
    <t>Jon  Karstark</t>
  </si>
  <si>
    <t>000.000.139-00</t>
  </si>
  <si>
    <t>55 anos</t>
  </si>
  <si>
    <t>70500 moedas</t>
  </si>
  <si>
    <t>Yara Royce</t>
  </si>
  <si>
    <t>Jeor Lannister</t>
  </si>
  <si>
    <t>000.000.091-00</t>
  </si>
  <si>
    <t>10 batalhas</t>
  </si>
  <si>
    <t>bran florent</t>
  </si>
  <si>
    <t>000.000.218-00</t>
  </si>
  <si>
    <t>Jojen Redwyne</t>
  </si>
  <si>
    <t>000.000.334-00</t>
  </si>
  <si>
    <t>24 anos</t>
  </si>
  <si>
    <t>Bronn Mallister</t>
  </si>
  <si>
    <t>000.000.200-00</t>
  </si>
  <si>
    <t>76500 moedas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</si>
  <si>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</si>
  <si>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</si>
  <si>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</si>
  <si>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</si>
  <si>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</si>
  <si>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</si>
  <si>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</si>
  <si>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</si>
  <si>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</si>
  <si>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terras da coroa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</si>
  <si>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</si>
  <si>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</si>
  <si>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</si>
  <si>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</si>
  <si>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</si>
  <si>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</si>
  <si>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</si>
  <si>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28800 moedas</t>
  </si>
  <si>
    <t>Stannis Redwyne</t>
  </si>
  <si>
    <t>000.000.216-00</t>
  </si>
  <si>
    <t>Jardim de Cima | Campina</t>
  </si>
  <si>
    <t>3 batalhas</t>
  </si>
  <si>
    <t>000.000.277-00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</si>
  <si>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</si>
  <si>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</si>
  <si>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</si>
  <si>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</si>
  <si>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</si>
  <si>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</si>
  <si>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</si>
  <si>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</si>
  <si>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terras fluviais</t>
  </si>
  <si>
    <t>loras payne</t>
  </si>
  <si>
    <t>000.000.027-00</t>
  </si>
  <si>
    <t>Missandei  Tarly</t>
  </si>
  <si>
    <t>000.000.196-00</t>
  </si>
  <si>
    <t>24 batalhas</t>
  </si>
  <si>
    <t>Aegon Baelish</t>
  </si>
  <si>
    <t>Meereen | Essos</t>
  </si>
  <si>
    <t>MELISANDRE TARGARYEN</t>
  </si>
  <si>
    <t>000.000.170-00</t>
  </si>
  <si>
    <t>loqueado</t>
  </si>
  <si>
    <t>Roose Cerwyn</t>
  </si>
  <si>
    <t>000.000.047-00</t>
  </si>
  <si>
    <t>Shae Frey</t>
  </si>
  <si>
    <t>61500 moedas</t>
  </si>
  <si>
    <t>Lyanna Swyft</t>
  </si>
  <si>
    <t>Rhaegar Targaryen</t>
  </si>
  <si>
    <t>000.000.342-00</t>
  </si>
  <si>
    <t>31 batalhas</t>
  </si>
  <si>
    <t>Varys Targaryen</t>
  </si>
  <si>
    <t>000.000.234-00</t>
  </si>
  <si>
    <t>Robb Stark</t>
  </si>
  <si>
    <t>000.000.228-00</t>
  </si>
  <si>
    <t>Gendry Hightower</t>
  </si>
  <si>
    <t>000.000.167-00</t>
  </si>
  <si>
    <t>Harrenhal | Terras Fluviais</t>
  </si>
  <si>
    <t>tormund glover</t>
  </si>
  <si>
    <t>000.000.087-00</t>
  </si>
  <si>
    <t>Tyrion Snow</t>
  </si>
  <si>
    <t>Beric  Umber</t>
  </si>
  <si>
    <t>Varys Florent</t>
  </si>
  <si>
    <t>Catelyn Umber</t>
  </si>
  <si>
    <t>Samwell Glover</t>
  </si>
  <si>
    <t>Thoros Clegane</t>
  </si>
  <si>
    <t>000.000.141-00</t>
  </si>
  <si>
    <t>THEON BARATHEON</t>
  </si>
  <si>
    <t>000.000.375-00</t>
  </si>
  <si>
    <t>22900 moedas</t>
  </si>
  <si>
    <t>SIM</t>
  </si>
  <si>
    <t>Melisandre  Baelish</t>
  </si>
  <si>
    <t>000.000.152-00</t>
  </si>
  <si>
    <t>25100 moedas</t>
  </si>
  <si>
    <t>Robert Yronwood</t>
  </si>
  <si>
    <t>000.000.075-00</t>
  </si>
  <si>
    <t>Meera Reed</t>
  </si>
  <si>
    <t>000.000.314-00</t>
  </si>
  <si>
    <t>tormund royce</t>
  </si>
  <si>
    <t>000.000.297-00</t>
  </si>
  <si>
    <t>Tyrion Karstark</t>
  </si>
  <si>
    <t>OESTE</t>
  </si>
  <si>
    <t>Missandei Florent</t>
  </si>
  <si>
    <t>000.000.282-00</t>
  </si>
  <si>
    <t>Varys  Stark</t>
  </si>
  <si>
    <t>Jeor Karstark</t>
  </si>
  <si>
    <t>000.000.310-00</t>
  </si>
  <si>
    <t>RENLY MORMONT</t>
  </si>
  <si>
    <t>000.000.376-00</t>
  </si>
  <si>
    <t>19 batalhas</t>
  </si>
  <si>
    <t>Eddard Royce</t>
  </si>
  <si>
    <t>000.000.181-00</t>
  </si>
  <si>
    <t>Terras Da Coroa</t>
  </si>
  <si>
    <t>16000 moedas</t>
  </si>
  <si>
    <t>Rhaegar Lannister</t>
  </si>
  <si>
    <t>Varys Blackwood</t>
  </si>
  <si>
    <t>000.000.373-00</t>
  </si>
  <si>
    <t>EDDARD WESTERLING</t>
  </si>
  <si>
    <t>000.000.094-00</t>
  </si>
  <si>
    <t>Varys  Blackwood</t>
  </si>
  <si>
    <t>41 batalhas</t>
  </si>
  <si>
    <t>Olenna Bracken</t>
  </si>
  <si>
    <t>000.000.225-00</t>
  </si>
  <si>
    <t>Aegon Marbrand</t>
  </si>
  <si>
    <t>Beric Tyrell</t>
  </si>
  <si>
    <t>000.000.242-00</t>
  </si>
  <si>
    <t>Asha Manderly</t>
  </si>
  <si>
    <t>000.000.357-00</t>
  </si>
  <si>
    <t>Ellaria Mormont</t>
  </si>
  <si>
    <t>000.000.157-00</t>
  </si>
  <si>
    <t>29 batalhas</t>
  </si>
  <si>
    <t>Grey Worm Baratheon</t>
  </si>
  <si>
    <t>000.000.221-00</t>
  </si>
  <si>
    <t>Ellaria Swyft</t>
  </si>
  <si>
    <t>000.000.115-00</t>
  </si>
  <si>
    <t>VALE</t>
  </si>
  <si>
    <t>Grey  Worm  Greyjoy</t>
  </si>
  <si>
    <t>000.000.182-00</t>
  </si>
  <si>
    <t>Jeor  Payne</t>
  </si>
  <si>
    <t>Bronn Royce</t>
  </si>
  <si>
    <t>Robert Hornwood</t>
  </si>
  <si>
    <t>000.000.259-00</t>
  </si>
  <si>
    <t>Asha Bolton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</si>
  <si>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</si>
  <si>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</si>
  <si>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</si>
  <si>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</si>
  <si>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</si>
  <si>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</si>
  <si>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</si>
  <si>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Ramsay Stark</t>
  </si>
  <si>
    <t>000.000.169-00</t>
  </si>
  <si>
    <t>Thoros Karstark</t>
  </si>
  <si>
    <t>000.000.012-00</t>
  </si>
  <si>
    <t>Gargalo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</si>
  <si>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</si>
  <si>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</si>
  <si>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</si>
  <si>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</si>
  <si>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</si>
  <si>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</si>
  <si>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</si>
  <si>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42000 moedas</t>
  </si>
  <si>
    <t>SANDOR WESTERLING</t>
  </si>
  <si>
    <t>30 batalhas</t>
  </si>
  <si>
    <t>Gilly Frey</t>
  </si>
  <si>
    <t>000.000.258-00</t>
  </si>
  <si>
    <t>Loras Bracken</t>
  </si>
  <si>
    <t>000.000.254-00</t>
  </si>
  <si>
    <t>Atalaia da Água Cinzenta | Gargalo</t>
  </si>
  <si>
    <t>17500 moedas</t>
  </si>
  <si>
    <t>Varys Tallhart</t>
  </si>
  <si>
    <t>Roose Bracken</t>
  </si>
  <si>
    <t>Varys Arryn</t>
  </si>
  <si>
    <t>000.000.097-00</t>
  </si>
  <si>
    <t>Asha Redwyne</t>
  </si>
  <si>
    <t>Beric Tallhart</t>
  </si>
  <si>
    <t>000.000.291-00</t>
  </si>
  <si>
    <t>Margaery Cerwyn</t>
  </si>
  <si>
    <t>000.000.211-00</t>
  </si>
  <si>
    <t>5 batalhas</t>
  </si>
  <si>
    <t>Loras Frey</t>
  </si>
  <si>
    <t>000.000.017-00</t>
  </si>
  <si>
    <t>Bran Karstark</t>
  </si>
  <si>
    <t>000.000.241-00</t>
  </si>
  <si>
    <t>ROBERT CERWYN</t>
  </si>
  <si>
    <t>17800 moedas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</si>
  <si>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</si>
  <si>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</si>
  <si>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</si>
  <si>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</si>
  <si>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</si>
  <si>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</si>
  <si>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</si>
  <si>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</si>
  <si>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26800 moedas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</si>
  <si>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</si>
  <si>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</si>
  <si>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</si>
  <si>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</si>
  <si>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</si>
  <si>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</si>
  <si>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</si>
  <si>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</si>
  <si>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20100 moedas</t>
  </si>
  <si>
    <t>Lyanna Stark</t>
  </si>
  <si>
    <t>000.000.023-00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</si>
  <si>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</si>
  <si>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</si>
  <si>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</si>
  <si>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</si>
  <si>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</si>
  <si>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</si>
  <si>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</si>
  <si>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</si>
  <si>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</si>
  <si>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Daario Cerwyn</t>
  </si>
  <si>
    <t>Catelyn Tarly</t>
  </si>
  <si>
    <t>27 anos</t>
  </si>
  <si>
    <t>Rickon Lannister</t>
  </si>
  <si>
    <t>000.000.197-00</t>
  </si>
  <si>
    <t>40 batalhas</t>
  </si>
  <si>
    <t>Jorah Marbrand</t>
  </si>
  <si>
    <t>000.000.168-00</t>
  </si>
  <si>
    <t>Pedra do Dragão | Terras da Coroa</t>
  </si>
  <si>
    <t>Renly Seaworth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</si>
  <si>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</si>
  <si>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</si>
  <si>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</si>
  <si>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</si>
  <si>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</si>
  <si>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</si>
  <si>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</si>
  <si>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</si>
  <si>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Jaime Yronwood</t>
  </si>
  <si>
    <t>Thoros Payne</t>
  </si>
  <si>
    <t>000.000.006-00</t>
  </si>
  <si>
    <t>Correrrio | Terras Fluviais</t>
  </si>
  <si>
    <t>theon tarth</t>
  </si>
  <si>
    <t>000.000.289-00</t>
  </si>
  <si>
    <t>Stannis Seaworth</t>
  </si>
  <si>
    <t>000.000.316-00</t>
  </si>
  <si>
    <t>Grey Worm Dondarrion</t>
  </si>
  <si>
    <t>Olenna Arryn</t>
  </si>
  <si>
    <t>Tyrion Tyrell</t>
  </si>
  <si>
    <t>Robb Clegane</t>
  </si>
  <si>
    <t>000.000.304-00</t>
  </si>
  <si>
    <t>Bran Dondarrion</t>
  </si>
  <si>
    <t>Jeor Baelish</t>
  </si>
  <si>
    <t>000.000.332-00</t>
  </si>
  <si>
    <t>14300 moedas</t>
  </si>
  <si>
    <t>78000 moedas</t>
  </si>
  <si>
    <t>Jaime Dondarrion</t>
  </si>
  <si>
    <t>000.000.056-00</t>
  </si>
  <si>
    <t>20900 moedas</t>
  </si>
  <si>
    <t>Loras Manderly</t>
  </si>
  <si>
    <t>Monte Chifre | Campina</t>
  </si>
  <si>
    <t>18 batalhas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</si>
  <si>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</si>
  <si>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</si>
  <si>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</si>
  <si>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</si>
  <si>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</si>
  <si>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</si>
  <si>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</si>
  <si>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</si>
  <si>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</si>
  <si>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Shae Mormont</t>
  </si>
  <si>
    <t>000.000.114-00</t>
  </si>
  <si>
    <t>renly bolton</t>
  </si>
  <si>
    <t>000.000.303-00</t>
  </si>
  <si>
    <t>Grey Worm Hornwood</t>
  </si>
  <si>
    <t>000.000.322-00</t>
  </si>
  <si>
    <t>52000 moedas</t>
  </si>
  <si>
    <t>Rhaegar Dayne</t>
  </si>
  <si>
    <t>000.000.335-00</t>
  </si>
  <si>
    <t>BRAN BOLTON</t>
  </si>
  <si>
    <t>000.000.003-00</t>
  </si>
  <si>
    <t>Shae Tarly</t>
  </si>
  <si>
    <t>000.000.235-00</t>
  </si>
  <si>
    <t>000.000.307-00</t>
  </si>
  <si>
    <t>Melisandre Crakehall</t>
  </si>
  <si>
    <t>000.000.260-00</t>
  </si>
  <si>
    <t>45500 moedas</t>
  </si>
  <si>
    <t>Sandor Westerling</t>
  </si>
  <si>
    <t>000.000.008-00</t>
  </si>
  <si>
    <t>Petyr Snow</t>
  </si>
  <si>
    <t>Robert Tarth</t>
  </si>
  <si>
    <t>000.000.001-00</t>
  </si>
  <si>
    <t>Robb Greyjoy</t>
  </si>
  <si>
    <t>000.000.227-00</t>
  </si>
  <si>
    <t>Yara  Marbrand</t>
  </si>
  <si>
    <t>000.000.266-00</t>
  </si>
  <si>
    <t>Cersei  Marbrand</t>
  </si>
  <si>
    <t>000.000.158-00</t>
  </si>
  <si>
    <t>Melisandre Baratheon</t>
  </si>
  <si>
    <t>000.000.020-00</t>
  </si>
  <si>
    <t>Yara Tallhart</t>
  </si>
  <si>
    <t>Gilly Mormont</t>
  </si>
  <si>
    <t>000.000.220-00</t>
  </si>
  <si>
    <t>Brienne Dondarrion</t>
  </si>
  <si>
    <t>000.000.256-00</t>
  </si>
  <si>
    <t>Missandei Glover</t>
  </si>
  <si>
    <t>Bronn Manderly</t>
  </si>
  <si>
    <t>000.000.074-00</t>
  </si>
  <si>
    <t>Aegon Florent</t>
  </si>
  <si>
    <t>Daario  Dayne</t>
  </si>
  <si>
    <t>000.000.144-00</t>
  </si>
  <si>
    <t>32 anos</t>
  </si>
  <si>
    <t>Roose Dondarrion</t>
  </si>
  <si>
    <t>000.000.126-00</t>
  </si>
  <si>
    <t>Stannis Greyjoy</t>
  </si>
  <si>
    <t>000.000.236-00</t>
  </si>
  <si>
    <t>Thoros Greyjoy</t>
  </si>
  <si>
    <t>000.000.043-00</t>
  </si>
  <si>
    <t>60000 moedas</t>
  </si>
  <si>
    <t>Thoros Crakehall</t>
  </si>
  <si>
    <t>Viserys  Umber</t>
  </si>
  <si>
    <t>000.000.155-00</t>
  </si>
  <si>
    <t>18000 moedas</t>
  </si>
  <si>
    <t>Cersei Greyjoy</t>
  </si>
  <si>
    <t>000.000.265-00</t>
  </si>
  <si>
    <t>21300 moedas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</si>
  <si>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</si>
  <si>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</si>
  <si>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</si>
  <si>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</si>
  <si>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</si>
  <si>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</si>
  <si>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</si>
  <si>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</si>
  <si>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</si>
  <si>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Jojen Hornwood</t>
  </si>
  <si>
    <t>000.000.128-00</t>
  </si>
  <si>
    <t>theon baelish</t>
  </si>
  <si>
    <t>000.000.380-00</t>
  </si>
  <si>
    <t>Aegon Hornwood</t>
  </si>
  <si>
    <t>Ellaria Redwyne</t>
  </si>
  <si>
    <t>000.000.093-00</t>
  </si>
  <si>
    <t>missandei redwyne</t>
  </si>
  <si>
    <t>000.000.111-00</t>
  </si>
  <si>
    <t>000.000.007-00</t>
  </si>
  <si>
    <t>Eddard Payne</t>
  </si>
  <si>
    <t>9200 moedas</t>
  </si>
  <si>
    <t>CERSEI GLOVER</t>
  </si>
  <si>
    <t>000.000.324-00</t>
  </si>
  <si>
    <t>4 batalhas</t>
  </si>
  <si>
    <t>Theon Karstark</t>
  </si>
  <si>
    <t>000.000.296-00</t>
  </si>
  <si>
    <t>Jon Cerwyn</t>
  </si>
  <si>
    <t>000.000.112-00</t>
  </si>
  <si>
    <t>13 batalhas</t>
  </si>
  <si>
    <t>Jon Bolton</t>
  </si>
  <si>
    <t>000.000.130-00</t>
  </si>
  <si>
    <t>Robert Stark</t>
  </si>
  <si>
    <t>000.000.315-00</t>
  </si>
  <si>
    <t>Tyrion Lannister</t>
  </si>
  <si>
    <t>26 batalhas</t>
  </si>
  <si>
    <t>Eddard Greyjoy</t>
  </si>
  <si>
    <t>000.000.238-00</t>
  </si>
  <si>
    <t>000.000.374-00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</si>
  <si>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</si>
  <si>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</si>
  <si>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</si>
  <si>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</si>
  <si>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</si>
  <si>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</si>
  <si>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</si>
  <si>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>Renly Blackwood</t>
  </si>
  <si>
    <t>000.000.106-00</t>
  </si>
  <si>
    <t>Davos  Baratheon</t>
  </si>
  <si>
    <t>000.000.055-00</t>
  </si>
  <si>
    <t>Bronn Crakehall</t>
  </si>
  <si>
    <t>3600 moedas</t>
  </si>
  <si>
    <t>000.000.339-00</t>
  </si>
  <si>
    <t>Cersei Umber</t>
  </si>
  <si>
    <t>000.000.058-00</t>
  </si>
  <si>
    <t>petyr yronwood</t>
  </si>
  <si>
    <t>000.000.095-00</t>
  </si>
  <si>
    <t>Robert Westerling</t>
  </si>
  <si>
    <t>000.000.105-00</t>
  </si>
  <si>
    <t>27300 moedas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</si>
  <si>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</si>
  <si>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</si>
  <si>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</si>
  <si>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</si>
  <si>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</si>
  <si>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</si>
  <si>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</si>
  <si>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</si>
  <si>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29700 moedas</t>
  </si>
  <si>
    <t>Lyanna Tarly</t>
  </si>
  <si>
    <t>000.000.232-00</t>
  </si>
  <si>
    <t>Cersei Tarth</t>
  </si>
  <si>
    <t>000.000.147-00</t>
  </si>
  <si>
    <t>74000 moedas</t>
  </si>
  <si>
    <t>Catelyn Mallister</t>
  </si>
  <si>
    <t>000.000.062-00</t>
  </si>
  <si>
    <t>Castelo Negro | Norte</t>
  </si>
  <si>
    <t>Brienne Mallister</t>
  </si>
  <si>
    <t>000.000.202-00</t>
  </si>
  <si>
    <t>Ilha dos Ursos | Norte</t>
  </si>
  <si>
    <t>Stannis Crakehall</t>
  </si>
  <si>
    <t>000.000.351-00</t>
  </si>
  <si>
    <t>Sansa Dondarrion</t>
  </si>
  <si>
    <t>000.000.101-00</t>
  </si>
  <si>
    <t>Beric  Karstark</t>
  </si>
  <si>
    <t>000.000.172-00</t>
  </si>
  <si>
    <t>Bran Umber</t>
  </si>
  <si>
    <t>000.000.104-00</t>
  </si>
  <si>
    <t>Davos Umber</t>
  </si>
  <si>
    <t>000.000.353-00</t>
  </si>
  <si>
    <t>6 batalhas</t>
  </si>
  <si>
    <t>Aegon Redwyne</t>
  </si>
  <si>
    <t>000.000.347-00</t>
  </si>
  <si>
    <t>Robert Mallister</t>
  </si>
  <si>
    <t>MARGAERY DONDARRION</t>
  </si>
  <si>
    <t>41 anos</t>
  </si>
  <si>
    <t>Roose Bolton</t>
  </si>
  <si>
    <t>Jon Hornwood</t>
  </si>
  <si>
    <t>Shae  Dayne</t>
  </si>
  <si>
    <t>000.000.312-00</t>
  </si>
  <si>
    <t>Petyr Swyft</t>
  </si>
  <si>
    <t>000.000.275-00</t>
  </si>
  <si>
    <t>Jaime Bracken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</si>
  <si>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</si>
  <si>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</si>
  <si>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</si>
  <si>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</si>
  <si>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</si>
  <si>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</si>
  <si>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</si>
  <si>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</si>
  <si>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</si>
  <si>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</si>
  <si>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</si>
  <si>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</si>
  <si>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4000 moedas</t>
  </si>
  <si>
    <t>Lyanna Westerling</t>
  </si>
  <si>
    <t>000.000.004-00</t>
  </si>
  <si>
    <t>RENLY STARK</t>
  </si>
  <si>
    <t>olenna hornwood</t>
  </si>
  <si>
    <t>Aegon Blackwood</t>
  </si>
  <si>
    <t>000.000.118-00</t>
  </si>
  <si>
    <t>Brienne Glover</t>
  </si>
  <si>
    <t>000.000.355-00</t>
  </si>
  <si>
    <t>Ellaria Cerwyn</t>
  </si>
  <si>
    <t>000.000.019-00</t>
  </si>
  <si>
    <t>51 anos</t>
  </si>
  <si>
    <t>7 batalhas</t>
  </si>
  <si>
    <t>Loras Lannister</t>
  </si>
  <si>
    <t>000.000.302-00</t>
  </si>
  <si>
    <t>000.000.103-00</t>
  </si>
  <si>
    <t>Catelyn  Dayne</t>
  </si>
  <si>
    <t>000.000.213-00</t>
  </si>
  <si>
    <t>LYANNA TARTH</t>
  </si>
  <si>
    <t>000.000.345-00</t>
  </si>
  <si>
    <t>19900 moedas</t>
  </si>
  <si>
    <t>Varys Lannister</t>
  </si>
  <si>
    <t>000.000.367-00</t>
  </si>
  <si>
    <t>21600 moedas</t>
  </si>
  <si>
    <t>Ellaria Targaryen</t>
  </si>
  <si>
    <t>000.000.149-00</t>
  </si>
  <si>
    <t>000.000.010-00</t>
  </si>
  <si>
    <t>80000 moedas</t>
  </si>
  <si>
    <t>48500 moedas</t>
  </si>
  <si>
    <t>Bronn Baratheon</t>
  </si>
  <si>
    <t>Jojen Dayne</t>
  </si>
  <si>
    <t>000.000.199-00</t>
  </si>
  <si>
    <t>Sandor Clegane</t>
  </si>
  <si>
    <t>000.000.164-00</t>
  </si>
  <si>
    <t>Thoros Westerling</t>
  </si>
  <si>
    <t>Stannis Westerling</t>
  </si>
  <si>
    <t>000.000.071-00</t>
  </si>
  <si>
    <t>000.000.079-00</t>
  </si>
  <si>
    <t>Melisandre Cerwyn</t>
  </si>
  <si>
    <t>000.000.120-00</t>
  </si>
  <si>
    <t>6400 moedas</t>
  </si>
  <si>
    <t>Thoros  Frey</t>
  </si>
  <si>
    <t>000.000.113-00</t>
  </si>
  <si>
    <t>Gilly Glover</t>
  </si>
  <si>
    <t>Robb Reed</t>
  </si>
  <si>
    <t>000.000.246-00</t>
  </si>
  <si>
    <t>Petyr Mallister</t>
  </si>
  <si>
    <t>Rickon Frey</t>
  </si>
  <si>
    <t>000.000.013-00</t>
  </si>
  <si>
    <t>Loras  Tarth</t>
  </si>
  <si>
    <t>000.000.286-00</t>
  </si>
  <si>
    <t>Theon Frey</t>
  </si>
  <si>
    <t>000.000.123-00</t>
  </si>
  <si>
    <t>Renly Tallhart</t>
  </si>
  <si>
    <t>Yara Mallister</t>
  </si>
  <si>
    <t>000.000.134-00</t>
  </si>
  <si>
    <t>Grey Worm Targaryen</t>
  </si>
  <si>
    <t>000.000.060-00</t>
  </si>
  <si>
    <t>Sandor Dondarrion</t>
  </si>
  <si>
    <t>Robert Manderly</t>
  </si>
  <si>
    <t>Margaery Tyrell</t>
  </si>
  <si>
    <t>000.000.107-00</t>
  </si>
  <si>
    <t>DAARIO TARLY</t>
  </si>
  <si>
    <t>000.000.046-00</t>
  </si>
  <si>
    <t>Tyrion Clegane</t>
  </si>
  <si>
    <t>000.000.281-00</t>
  </si>
  <si>
    <t>11400 moedas</t>
  </si>
  <si>
    <t>Viserys Hightower</t>
  </si>
  <si>
    <t>000.000.080-00</t>
  </si>
  <si>
    <t>20800 moedas</t>
  </si>
  <si>
    <t>Aegon Umber</t>
  </si>
  <si>
    <t>000.000.356-00</t>
  </si>
  <si>
    <t>Melisandre Glover</t>
  </si>
  <si>
    <t>000.000.329-00</t>
  </si>
  <si>
    <t>Jon Baelish</t>
  </si>
  <si>
    <t>Bran Tarly</t>
  </si>
  <si>
    <t>000.000.269-00</t>
  </si>
  <si>
    <t>Eddard Dayne</t>
  </si>
  <si>
    <t>000.000.280-00</t>
  </si>
  <si>
    <t>29500 moedas</t>
  </si>
  <si>
    <t>Renly Bolton</t>
  </si>
  <si>
    <t>Rhaegar Payne</t>
  </si>
  <si>
    <t>000.000.253-00</t>
  </si>
  <si>
    <t>Bronn Dondarrion</t>
  </si>
  <si>
    <t>000.000.036-00</t>
  </si>
  <si>
    <t>Ativa</t>
  </si>
  <si>
    <t>Davos Royce</t>
  </si>
  <si>
    <t>03 08 1995</t>
  </si>
  <si>
    <t>Daario Tarth</t>
  </si>
  <si>
    <t>Robert Payne</t>
  </si>
  <si>
    <t>000.000.068-00</t>
  </si>
  <si>
    <t>Roose Baelish</t>
  </si>
  <si>
    <t>000.000.366-00</t>
  </si>
  <si>
    <t>Missandei Arryn</t>
  </si>
  <si>
    <t>000.000.368-00</t>
  </si>
  <si>
    <t>Terras da coroa</t>
  </si>
  <si>
    <t>000.000.371-00</t>
  </si>
  <si>
    <t>podrick Stark</t>
  </si>
  <si>
    <t>000.000.029-00</t>
  </si>
  <si>
    <t>000.000.262.00</t>
  </si>
  <si>
    <t>Jorah Stark</t>
  </si>
  <si>
    <t>000.000.021-00</t>
  </si>
  <si>
    <t>nativo</t>
  </si>
  <si>
    <t>Roose Frey</t>
  </si>
  <si>
    <t>000.000.292-00</t>
  </si>
  <si>
    <t xml:space="preserve">Ilha dos Ursos </t>
  </si>
  <si>
    <t>Tyrion Westerling</t>
  </si>
  <si>
    <t>Shae Blackwood</t>
  </si>
  <si>
    <t>n/a</t>
  </si>
  <si>
    <t>Aegon Clegane</t>
  </si>
  <si>
    <t>000.000.330-00</t>
  </si>
  <si>
    <t>Margaery Redwyne</t>
  </si>
  <si>
    <t>terras Fluviais</t>
  </si>
  <si>
    <t>Ellaria Yronwood</t>
  </si>
  <si>
    <t>000.000.176-00</t>
  </si>
  <si>
    <t>Olenna Lannister</t>
  </si>
  <si>
    <t>000.000.212-00</t>
  </si>
  <si>
    <t>000.000.042-00</t>
  </si>
  <si>
    <t>Sansa Clegane</t>
  </si>
  <si>
    <t>000.000.174-00</t>
  </si>
  <si>
    <t>67 anos</t>
  </si>
  <si>
    <t>Daario Yronwood</t>
  </si>
  <si>
    <t>Ramsay Karstark</t>
  </si>
  <si>
    <t>000.000.185-00</t>
  </si>
  <si>
    <t>000.000.048-00</t>
  </si>
  <si>
    <t>Meera Lannister</t>
  </si>
  <si>
    <t>000.000.121-00</t>
  </si>
  <si>
    <t>22200 moedas</t>
  </si>
  <si>
    <t>000.000.268-00</t>
  </si>
  <si>
    <t>podrick umber</t>
  </si>
  <si>
    <t>Rickon Hornwood</t>
  </si>
  <si>
    <t>000.000.078-00</t>
  </si>
  <si>
    <t>Arya Bolton</t>
  </si>
  <si>
    <t>Ramsay Blackwood</t>
  </si>
  <si>
    <t>000.000.035-00</t>
  </si>
  <si>
    <t>primeira_analise</t>
  </si>
  <si>
    <t>segunda_analise</t>
  </si>
  <si>
    <t>liberacao_de_credito</t>
  </si>
  <si>
    <t>N</t>
  </si>
  <si>
    <t>000.000.183-00</t>
  </si>
  <si>
    <t>S</t>
  </si>
  <si>
    <t>000.000.240-00</t>
  </si>
  <si>
    <t>000.000.219-00</t>
  </si>
  <si>
    <t>000.000.151-00</t>
  </si>
  <si>
    <t>000.000.002-00</t>
  </si>
  <si>
    <t>Theon Baratheon</t>
  </si>
  <si>
    <t>000.000.209-00</t>
  </si>
  <si>
    <t>000.000.327-00</t>
  </si>
  <si>
    <t>000.000.255-00</t>
  </si>
  <si>
    <t>000.000.350-00</t>
  </si>
  <si>
    <t>000.000.154-00</t>
  </si>
  <si>
    <t>Missandei Redwyne</t>
  </si>
  <si>
    <t>000.000.018-00</t>
  </si>
  <si>
    <t>000.000.137-00</t>
  </si>
  <si>
    <t>Rhaegar Stark</t>
  </si>
  <si>
    <t>000.000.171-00</t>
  </si>
  <si>
    <t>000.000.040-00</t>
  </si>
  <si>
    <t>000.000.163-00</t>
  </si>
  <si>
    <t>000.000.279-00</t>
  </si>
  <si>
    <t>Eddard Westerling</t>
  </si>
  <si>
    <t>Thoros Hornwood</t>
  </si>
  <si>
    <t>Loras Baelish</t>
  </si>
  <si>
    <t>000.000.102-00</t>
  </si>
  <si>
    <t>000.000.166-00</t>
  </si>
  <si>
    <t>Meera Payne</t>
  </si>
  <si>
    <t>000.000.077-00</t>
  </si>
  <si>
    <t>Brienne Karstark</t>
  </si>
  <si>
    <t>Cersei Glover</t>
  </si>
  <si>
    <t>Robert Cerwyn</t>
  </si>
  <si>
    <t>000.000.300-00</t>
  </si>
  <si>
    <t>000.000.083-00</t>
  </si>
  <si>
    <t>000.000.203-00</t>
  </si>
  <si>
    <t>Renly Dayne</t>
  </si>
  <si>
    <t>000.000.331-00</t>
  </si>
  <si>
    <t>Olenna Hornwood</t>
  </si>
  <si>
    <t>000.000.299-00</t>
  </si>
  <si>
    <t>000.000.370-00</t>
  </si>
  <si>
    <t>000.000.223-00</t>
  </si>
  <si>
    <t>000.000.369-00</t>
  </si>
  <si>
    <t>000.000.032-00</t>
  </si>
  <si>
    <t>000.000.099-00</t>
  </si>
  <si>
    <t>Varys Bracken</t>
  </si>
  <si>
    <t>Bran Florent</t>
  </si>
  <si>
    <t>Podrick Umber</t>
  </si>
  <si>
    <t>000.000.053-00</t>
  </si>
  <si>
    <t>000.000.098-00</t>
  </si>
  <si>
    <t>000.000.142-00</t>
  </si>
  <si>
    <t>000.000.156-00</t>
  </si>
  <si>
    <t>000.000.193-00</t>
  </si>
  <si>
    <t>Daario Tarly</t>
  </si>
  <si>
    <t>000.000.318-00</t>
  </si>
  <si>
    <t>000.000.325-00</t>
  </si>
  <si>
    <t>Loras Payne</t>
  </si>
  <si>
    <t>Alto</t>
  </si>
  <si>
    <t>Beric Crakehall</t>
  </si>
  <si>
    <t>Margaery Dondarrion</t>
  </si>
  <si>
    <t>000.000.192-00</t>
  </si>
  <si>
    <t>000.000.264-00</t>
  </si>
  <si>
    <t>000.000.337-00</t>
  </si>
  <si>
    <t>Samwell Yronwood</t>
  </si>
  <si>
    <t>Yara Targaryen</t>
  </si>
  <si>
    <t>Podrick Stark</t>
  </si>
  <si>
    <t>000.000.089-00</t>
  </si>
  <si>
    <t>000.000.063-00</t>
  </si>
  <si>
    <t>000.000.207-00</t>
  </si>
  <si>
    <t>000.000.033-00</t>
  </si>
  <si>
    <t>000.000.344-00</t>
  </si>
  <si>
    <t>000.000.108-00</t>
  </si>
  <si>
    <t>000.000.360-00</t>
  </si>
  <si>
    <t>000.000.034-00</t>
  </si>
  <si>
    <t>000.000.233-00</t>
  </si>
  <si>
    <t>000.000.243-00</t>
  </si>
  <si>
    <t>Renly Mormont</t>
  </si>
  <si>
    <t>000.000.349-00</t>
  </si>
  <si>
    <t>000.000.278-00</t>
  </si>
  <si>
    <t>000.000.175-00</t>
  </si>
  <si>
    <t>Petyr Yronwood</t>
  </si>
  <si>
    <t>000.000.214-00</t>
  </si>
  <si>
    <t>Bran Bolton</t>
  </si>
  <si>
    <t>Ellaria Tarly</t>
  </si>
  <si>
    <t>000.000.064-00</t>
  </si>
  <si>
    <t>Theon Tarth</t>
  </si>
  <si>
    <t>000.000.082-00</t>
  </si>
  <si>
    <t>000.000.086-00</t>
  </si>
  <si>
    <t>000.000.348-00</t>
  </si>
  <si>
    <t>000.000.160-00</t>
  </si>
  <si>
    <t>000.000.188-00</t>
  </si>
  <si>
    <t>000.000.049-00</t>
  </si>
  <si>
    <t>Theon Baelish</t>
  </si>
  <si>
    <t>000.000.343-00</t>
  </si>
  <si>
    <t>000.000.069-00</t>
  </si>
  <si>
    <t>000.000.285-00</t>
  </si>
  <si>
    <t>000.000.273-00</t>
  </si>
  <si>
    <t>000.000.272-00</t>
  </si>
  <si>
    <t>000.000.239-00</t>
  </si>
  <si>
    <t>000.000.295-00</t>
  </si>
  <si>
    <t>Catelyn Westerling</t>
  </si>
  <si>
    <t>000.000.358-00</t>
  </si>
  <si>
    <t>000.000.267-00</t>
  </si>
  <si>
    <t>000.000.072-00</t>
  </si>
  <si>
    <t>000.000.257-00</t>
  </si>
  <si>
    <t>000.000.084-00</t>
  </si>
  <si>
    <t>000.000.320-00</t>
  </si>
  <si>
    <t>000.000.361-00</t>
  </si>
  <si>
    <t>000.000.180-00</t>
  </si>
  <si>
    <t>000.000.237-00</t>
  </si>
  <si>
    <t>000.000.038-00</t>
  </si>
  <si>
    <t>000.000.340-00</t>
  </si>
  <si>
    <t>000.000.132-00</t>
  </si>
  <si>
    <t>Lyanna Tarth</t>
  </si>
  <si>
    <t>000.000.206-00</t>
  </si>
  <si>
    <t>000.000.305-00</t>
  </si>
  <si>
    <t>Melisandre Targaryen</t>
  </si>
  <si>
    <t>000.000.127-00</t>
  </si>
  <si>
    <t>000.000.290-00</t>
  </si>
  <si>
    <t>000.000.190-00</t>
  </si>
  <si>
    <t>000.000.165-00</t>
  </si>
  <si>
    <t>000.000.230-00</t>
  </si>
  <si>
    <t>000.000.352-00</t>
  </si>
  <si>
    <t>000.000.179-00</t>
  </si>
  <si>
    <t>000.000.145-00</t>
  </si>
  <si>
    <t>000.000.161-00</t>
  </si>
  <si>
    <t>000.000.028-00</t>
  </si>
  <si>
    <t>Tormund Royce</t>
  </si>
  <si>
    <t>000.000.377-00</t>
  </si>
  <si>
    <t>000.000.271-00</t>
  </si>
  <si>
    <t>000.000.319-00</t>
  </si>
  <si>
    <t>000.000.022-00</t>
  </si>
  <si>
    <t>000.000.159-00</t>
  </si>
  <si>
    <t>000.000.116-00</t>
  </si>
  <si>
    <t>Tormund Glover</t>
  </si>
  <si>
    <t>000.000.117-00</t>
  </si>
  <si>
    <t>Renly Stark</t>
  </si>
  <si>
    <t>000.000.252-00</t>
  </si>
  <si>
    <t>Bronn Arryn</t>
  </si>
  <si>
    <t>000.000.096-00</t>
  </si>
  <si>
    <t>000.000.150-00</t>
  </si>
  <si>
    <t>Coluna analisada</t>
  </si>
  <si>
    <t>Problema encontrado</t>
  </si>
  <si>
    <t>Exemplo encontrado</t>
  </si>
  <si>
    <t>Tipo de problema</t>
  </si>
  <si>
    <t>Ação realizada</t>
  </si>
  <si>
    <t>Resultado esperado</t>
  </si>
  <si>
    <t>Decisão</t>
  </si>
  <si>
    <t>Categorias escritas de formas diferentes e células vazias.</t>
  </si>
  <si>
    <t>ativo, inativo, vazio</t>
  </si>
  <si>
    <t>Padronização</t>
  </si>
  <si>
    <t>Padronizado para "Ativo" e "Inativo" via Find &amp; Select. Dados ausentes destacados de vermelho.</t>
  </si>
  <si>
    <t>Categorias únicas e padronizadas.</t>
  </si>
  <si>
    <t>Corrigido</t>
  </si>
  <si>
    <t>Texto sem capitalização padrão.</t>
  </si>
  <si>
    <t>john snow</t>
  </si>
  <si>
    <t>Formatação/tipo</t>
  </si>
  <si>
    <t>Criação de coluna auxiliar aplicando a fórmula =PROPER().</t>
  </si>
  <si>
    <t>Iniciais maiúsculas.</t>
  </si>
  <si>
    <t>Perda de zeros à esquerda e duplicações com valores divergentes.</t>
  </si>
  <si>
    <t>3300 / CPFs repetidos</t>
  </si>
  <si>
    <t>Qualidade / Negócio</t>
  </si>
  <si>
    <t>Criação de coluna auxiliar aplicando a fórmula =TEXT(C2;"000\.000\.000\-00"). Duplicados foram mantidos na base para preservar histórico. Valores duplicados ou ausentes destacados em vermelho</t>
  </si>
  <si>
    <t>Formato padrão "000.000.000-00".</t>
  </si>
  <si>
    <t>Texto junto ao número. dados ausentes, idades erradas</t>
  </si>
  <si>
    <t>25 anos, "64 - 04/02/1990"</t>
  </si>
  <si>
    <t>Qualidade</t>
  </si>
  <si>
    <t>Aplicada limpeza com Find &amp; Select. Idades validadas cruzando com a data de nascimento.</t>
  </si>
  <si>
    <t>Apenas números "25".</t>
  </si>
  <si>
    <t>Datas "contando" a partir de determinada data.</t>
  </si>
  <si>
    <t>Seleção da coluna e conversão direta para "Data Curta". Vazios em amarelo</t>
  </si>
  <si>
    <t>Formato de calendário DD/MM/AAAA.</t>
  </si>
  <si>
    <t>cidade / regiao</t>
  </si>
  <si>
    <t>Duas informações juntas. Regiões vazias.</t>
  </si>
  <si>
    <t>Estrutura</t>
  </si>
  <si>
    <t>Informações separadas usando =TEXTSPLIT(A2; "|"). Regiões em branco preenchidas com base na cidade correspondente.</t>
  </si>
  <si>
    <t>Colunas isoladas e completas.</t>
  </si>
  <si>
    <t>Textos junto com valores, valores vazios, sem renda</t>
  </si>
  <si>
    <t>R$ 8.900,00 moedas, sem renda</t>
  </si>
  <si>
    <t>Find &amp; Select para limpar texto. Formatação em Moeda, células vazias ou "sem renda" substituídas por "R$ -".</t>
  </si>
  <si>
    <t>Valor numérico.</t>
  </si>
  <si>
    <t>Mistura de texto, vazio, 0 e N/A.</t>
  </si>
  <si>
    <t>N/A, moedas</t>
  </si>
  <si>
    <t>Find &amp; Select para limpar texto. Formatação em Moeda, células vazias ou "N/A" substituídas por "R$ -".</t>
  </si>
  <si>
    <t>Categorias inconsistentes.</t>
  </si>
  <si>
    <t>Sim, SIM, Nao</t>
  </si>
  <si>
    <t>Find &amp; Select padronizar para "S" e "N". Vazios destacados de vermelho.</t>
  </si>
  <si>
    <t>Apenas "S" e "N".</t>
  </si>
  <si>
    <t>Texto junto ao número e dados críticos ausentes.</t>
  </si>
  <si>
    <t>vazio, 27 batalhas</t>
  </si>
  <si>
    <t>Formatação condicional vermelha para evidenciar ausência de dado importante. Remoção de texto</t>
  </si>
  <si>
    <t>Apenas números.</t>
  </si>
  <si>
    <t>Coluna sem preenchimento</t>
  </si>
  <si>
    <t>vazio</t>
  </si>
  <si>
    <t>Regra de negócio</t>
  </si>
  <si>
    <t>Criação de fórmula condicional classificando até 10 como baixo, 11-25 como médio e &gt;25 como Alto.</t>
  </si>
  <si>
    <t>Classificar risco como Alto, Baixo ou Médio</t>
  </si>
  <si>
    <t>Pergunta de análise</t>
  </si>
  <si>
    <t>Tipo de dado</t>
  </si>
  <si>
    <t>Indicador ou cálculo</t>
  </si>
  <si>
    <t>Gráfico</t>
  </si>
  <si>
    <t>Insight</t>
  </si>
  <si>
    <t>Qual região representa o maior risco financeiro?</t>
  </si>
  <si>
    <t>Qualitativo Nominal e Quantitativo Contínuo</t>
  </si>
  <si>
    <t>Soma do valor real protegido (8% do crédito solicitado) agrupada por região apenas para clientes com status "Negado".</t>
  </si>
  <si>
    <t>Barras Horizontais</t>
  </si>
  <si>
    <t>Dorne concentra a maior quantia de dinheiro salvo pelo banco, através da negação de crédito para clientes considerados um risco.</t>
  </si>
  <si>
    <t>Negado</t>
  </si>
  <si>
    <t>risco_real_caixa</t>
  </si>
  <si>
    <t>Soma de valor_solicitado</t>
  </si>
  <si>
    <t>Soma valor_salvo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</si>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</sst>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_-[$R$-416]\ * #,##0.00_-;\-[$R$-416]\ * #,##0.00_-;_-[$R$-416]\ * &quot;-&quot;??_-;_-@_-"/>
    <numFmt numFmtId="165" formatCode="0.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2"/>
      <color rgb="FFFAF7F7"/>
      <name val="Calibri"/>
      <family val="2"/>
      <scheme val="minor"/>
    </font>
    <font>
      <sz val="12"/>
      <color rgb="FFFAF7F7"/>
      <name val="Calibri"/>
      <charset val="1"/>
    </font>
    <font>
      <sz val="10"/>
      <color theme="1"/>
      <name val="Arial"/>
      <charset val="1"/>
    </font>
    <font>
      <b/>
      <sz val="12"/>
      <color rgb="FFFFFFFF"/>
      <name val="Calibri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charset val="1"/>
    </font>
    <font>
      <sz val="12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18" fillId="0" borderId="0" xfId="0" applyFont="1"/>
    <xf numFmtId="164" fontId="0" fillId="0" borderId="0" xfId="0" applyNumberFormat="1"/>
    <xf numFmtId="0" fontId="19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64" fontId="18" fillId="0" borderId="0" xfId="0" applyNumberFormat="1" applyFont="1" applyAlignment="1">
      <alignment horizontal="left"/>
    </xf>
    <xf numFmtId="3" fontId="0" fillId="0" borderId="0" xfId="0" applyNumberFormat="1" applyAlignment="1">
      <alignment horizontal="center"/>
    </xf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164" fontId="16" fillId="33" borderId="11" xfId="0" applyNumberFormat="1" applyFont="1" applyFill="1" applyBorder="1"/>
    <xf numFmtId="0" fontId="0" fillId="33" borderId="10" xfId="0" applyNumberFormat="1" applyFill="1" applyBorder="1"/>
    <xf numFmtId="0" fontId="16" fillId="33" borderId="10" xfId="0" applyNumberFormat="1" applyFont="1" applyFill="1" applyBorder="1"/>
    <xf numFmtId="0" fontId="21" fillId="34" borderId="15" xfId="0" applyFont="1" applyFill="1" applyBorder="1" applyAlignment="1">
      <alignment horizontal="left" vertical="center" readingOrder="1"/>
    </xf>
    <xf numFmtId="0" fontId="21" fillId="34" borderId="16" xfId="0" applyFont="1" applyFill="1" applyBorder="1" applyAlignment="1">
      <alignment horizontal="left" vertical="center" readingOrder="1"/>
    </xf>
    <xf numFmtId="0" fontId="21" fillId="34" borderId="17" xfId="0" applyFont="1" applyFill="1" applyBorder="1" applyAlignment="1">
      <alignment horizontal="left" vertical="center" readingOrder="1"/>
    </xf>
    <xf numFmtId="0" fontId="21" fillId="34" borderId="15" xfId="0" applyFont="1" applyFill="1" applyBorder="1" applyAlignment="1">
      <alignment vertical="center" readingOrder="1"/>
    </xf>
    <xf numFmtId="0" fontId="21" fillId="34" borderId="16" xfId="0" applyFont="1" applyFill="1" applyBorder="1" applyAlignment="1">
      <alignment vertical="center" readingOrder="1"/>
    </xf>
    <xf numFmtId="0" fontId="21" fillId="34" borderId="17" xfId="0" applyFont="1" applyFill="1" applyBorder="1" applyAlignment="1">
      <alignment vertical="center" readingOrder="1"/>
    </xf>
    <xf numFmtId="0" fontId="21" fillId="0" borderId="13" xfId="0" applyFont="1" applyBorder="1" applyAlignment="1">
      <alignment vertical="center" readingOrder="1"/>
    </xf>
    <xf numFmtId="0" fontId="21" fillId="0" borderId="12" xfId="0" applyFont="1" applyBorder="1" applyAlignment="1">
      <alignment vertical="center" readingOrder="1"/>
    </xf>
    <xf numFmtId="0" fontId="21" fillId="0" borderId="12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21" fillId="0" borderId="12" xfId="0" applyFont="1" applyBorder="1" applyAlignment="1">
      <alignment horizontal="left" vertical="center" readingOrder="1"/>
    </xf>
    <xf numFmtId="0" fontId="21" fillId="0" borderId="14" xfId="0" applyFont="1" applyBorder="1" applyAlignment="1">
      <alignment horizontal="center" vertical="center" readingOrder="1"/>
    </xf>
    <xf numFmtId="0" fontId="21" fillId="0" borderId="19" xfId="0" applyFont="1" applyBorder="1" applyAlignment="1">
      <alignment vertical="center" readingOrder="1"/>
    </xf>
    <xf numFmtId="0" fontId="21" fillId="0" borderId="19" xfId="0" applyFont="1" applyBorder="1" applyAlignment="1">
      <alignment vertical="center" wrapText="1" readingOrder="1"/>
    </xf>
    <xf numFmtId="0" fontId="21" fillId="0" borderId="20" xfId="0" applyFont="1" applyBorder="1" applyAlignment="1">
      <alignment vertical="center" wrapText="1" readingOrder="1"/>
    </xf>
    <xf numFmtId="164" fontId="0" fillId="0" borderId="0" xfId="0" applyNumberFormat="1" applyAlignment="1">
      <alignment vertical="center"/>
    </xf>
    <xf numFmtId="0" fontId="21" fillId="0" borderId="18" xfId="0" applyFont="1" applyBorder="1" applyAlignment="1">
      <alignment vertical="center" wrapText="1" readingOrder="1"/>
    </xf>
    <xf numFmtId="0" fontId="19" fillId="34" borderId="0" xfId="0" applyFont="1" applyFill="1" applyAlignment="1">
      <alignment horizontal="left" vertical="center"/>
    </xf>
    <xf numFmtId="14" fontId="19" fillId="34" borderId="0" xfId="0" applyNumberFormat="1" applyFont="1" applyFill="1" applyAlignment="1">
      <alignment horizontal="left" vertical="center"/>
    </xf>
    <xf numFmtId="0" fontId="19" fillId="34" borderId="0" xfId="0" applyFont="1" applyFill="1" applyAlignment="1">
      <alignment vertical="center"/>
    </xf>
    <xf numFmtId="0" fontId="19" fillId="34" borderId="0" xfId="0" applyNumberFormat="1" applyFont="1" applyFill="1" applyAlignment="1">
      <alignment horizontal="left" vertical="center"/>
    </xf>
    <xf numFmtId="0" fontId="19" fillId="34" borderId="0" xfId="0" applyNumberFormat="1" applyFont="1" applyFill="1" applyAlignment="1">
      <alignment vertical="center"/>
    </xf>
    <xf numFmtId="0" fontId="20" fillId="34" borderId="0" xfId="0" applyFont="1" applyFill="1" applyAlignment="1">
      <alignment horizontal="left" vertical="center"/>
    </xf>
    <xf numFmtId="164" fontId="19" fillId="34" borderId="0" xfId="0" applyNumberFormat="1" applyFont="1" applyFill="1" applyAlignment="1">
      <alignment vertical="center"/>
    </xf>
    <xf numFmtId="0" fontId="13" fillId="34" borderId="0" xfId="0" applyFont="1" applyFill="1"/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0" fillId="0" borderId="0" xfId="0" applyNumberFormat="1"/>
    <xf numFmtId="0" fontId="17" fillId="0" borderId="0" xfId="0" applyFont="1"/>
    <xf numFmtId="0" fontId="0" fillId="0" borderId="0" xfId="0" applyAlignment="1">
      <alignment horizontal="left"/>
    </xf>
    <xf numFmtId="0" fontId="21" fillId="34" borderId="16" xfId="0" applyFont="1" applyFill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22" fillId="35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0" fontId="24" fillId="34" borderId="0" xfId="0" applyFont="1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0" fontId="0" fillId="38" borderId="0" xfId="0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/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center" vertical="center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4" tint="-0.249977111117893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color rgb="FF00B050"/>
      </font>
    </dxf>
    <dxf>
      <numFmt numFmtId="164" formatCode="_-[$R$-416]\ * #,##0.00_-;\-[$R$-416]\ * #,##0.00_-;_-[$R$-416]\ * &quot;-&quot;??_-;_-@_-"/>
    </dxf>
    <dxf>
      <numFmt numFmtId="0" formatCode="General"/>
      <alignment horizontal="center"/>
    </dxf>
    <dxf>
      <numFmt numFmtId="0" formatCode="General"/>
      <alignment horizontal="center"/>
    </dxf>
    <dxf>
      <numFmt numFmtId="164" formatCode="_-[$R$-416]\ * #,##0.00_-;\-[$R$-416]\ * #,##0.00_-;_-[$R$-416]\ * &quot;-&quot;??_-;_-@_-"/>
    </dxf>
    <dxf>
      <alignment horizontal="center"/>
    </dxf>
    <dxf>
      <numFmt numFmtId="0" formatCode="General"/>
      <alignment horizontal="center"/>
    </dxf>
    <dxf>
      <alignment horizontal="center"/>
    </dxf>
    <dxf>
      <numFmt numFmtId="164" formatCode="_-[$R$-416]\ * #,##0.00_-;\-[$R$-416]\ * #,##0.00_-;_-[$R$-416]\ * &quot;-&quot;??_-;_-@_-"/>
      <alignment horizontal="left"/>
    </dxf>
    <dxf>
      <numFmt numFmtId="164" formatCode="_-[$R$-416]\ * #,##0.00_-;\-[$R$-416]\ * #,##0.00_-;_-[$R$-416]\ * &quot;-&quot;??_-;_-@_-"/>
      <alignment horizontal="left"/>
    </dxf>
    <dxf>
      <numFmt numFmtId="19" formatCode="dd/mm/yyyy"/>
      <alignment horizontal="center"/>
    </dxf>
    <dxf>
      <alignment horizontal="center" vertical="bottom" textRotation="0" wrapText="0" indent="0" justifyLastLine="0" shrinkToFit="0" readingOrder="0"/>
    </dxf>
    <dxf>
      <alignment horizontal="left"/>
    </dxf>
    <dxf>
      <alignment horizontal="left"/>
    </dxf>
    <dxf>
      <alignment horizontal="center"/>
    </dxf>
    <dxf>
      <font>
        <b val="0"/>
        <sz val="12"/>
        <color rgb="FFFAF7F7"/>
      </font>
      <fill>
        <patternFill patternType="solid">
          <fgColor indexed="64"/>
          <bgColor theme="4" tint="-0.249977111117893"/>
        </patternFill>
      </fill>
      <alignment vertical="center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rgb="FF9C0006"/>
      </font>
    </dxf>
    <dxf>
      <font>
        <color rgb="FF00B050"/>
      </font>
    </dxf>
    <dxf>
      <numFmt numFmtId="0" formatCode="General"/>
      <alignment horizontal="center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alignment horizontal="center" vertical="center" textRotation="0" wrapText="0" indent="0" justifyLastLine="0" shrinkToFit="0" readingOrder="0"/>
    </dxf>
    <dxf>
      <font>
        <color rgb="FF9C0006"/>
      </font>
    </dxf>
    <dxf>
      <font>
        <color rgb="FF00B050"/>
      </font>
    </dxf>
    <dxf>
      <font>
        <color theme="9" tint="-0.249977111117893"/>
      </font>
    </dxf>
    <dxf>
      <font>
        <color rgb="FF9C000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-[$R$-416]\ * #,##0.00_-;\-[$R$-416]\ * #,##0.00_-;_-[$R$-416]\ * &quot;-&quot;??_-;_-@_-"/>
    </dxf>
    <dxf>
      <alignment horizontal="center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colors>
    <mruColors>
      <color rgb="FFD9E1F2"/>
      <color rgb="FFFA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Concentração de Credito Negado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3AF-4B1B-B892-74B0D817E5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'grafico_risco-financeiro'!$E$7:$E$15</c:f>
              <c:strCache>
                <c:ptCount val="9"/>
                <c:pt idx="0">
                  <c:v>Dorne</c:v>
                </c:pt>
                <c:pt idx="1">
                  <c:v>Terras Da Coroa</c:v>
                </c:pt>
                <c:pt idx="2">
                  <c:v>Terras Fluviais</c:v>
                </c:pt>
                <c:pt idx="3">
                  <c:v>Campina</c:v>
                </c:pt>
                <c:pt idx="4">
                  <c:v>Essos</c:v>
                </c:pt>
                <c:pt idx="5">
                  <c:v>Norte</c:v>
                </c:pt>
                <c:pt idx="6">
                  <c:v>Terras Da Tempestade</c:v>
                </c:pt>
                <c:pt idx="7">
                  <c:v>Ilhas De Ferro</c:v>
                </c:pt>
                <c:pt idx="8">
                  <c:v>Gargalo</c:v>
                </c:pt>
              </c:strCache>
            </c:strRef>
          </c:cat>
          <c:val>
            <c:numRef>
              <c:f>'grafico_risco-financeiro'!$F$7:$F$15</c:f>
              <c:numCache>
                <c:formatCode>_-[$R$-416]\ * #,##0.00_-;\-[$R$-416]\ * #,##0.00_-;_-[$R$-416]\ * "-"??_-;_-@_-</c:formatCode>
                <c:ptCount val="9"/>
                <c:pt idx="0">
                  <c:v>30880</c:v>
                </c:pt>
                <c:pt idx="1">
                  <c:v>28840</c:v>
                </c:pt>
                <c:pt idx="2">
                  <c:v>26360</c:v>
                </c:pt>
                <c:pt idx="3">
                  <c:v>24840</c:v>
                </c:pt>
                <c:pt idx="4">
                  <c:v>23040</c:v>
                </c:pt>
                <c:pt idx="5">
                  <c:v>19080</c:v>
                </c:pt>
                <c:pt idx="6">
                  <c:v>8840</c:v>
                </c:pt>
                <c:pt idx="7">
                  <c:v>6864</c:v>
                </c:pt>
                <c:pt idx="8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A-4926-806C-4AA94D525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833223"/>
        <c:axId val="21852679"/>
      </c:barChart>
      <c:catAx>
        <c:axId val="21833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2679"/>
        <c:crosses val="autoZero"/>
        <c:auto val="1"/>
        <c:lblAlgn val="ctr"/>
        <c:lblOffset val="100"/>
        <c:noMultiLvlLbl val="0"/>
      </c:catAx>
      <c:valAx>
        <c:axId val="218526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Valores somados, por região, das solicitações de clientes inadimplentes ou de alto risco que foram negadas.</a:t>
                </a:r>
              </a:p>
            </c:rich>
          </c:tx>
          <c:layout>
            <c:manualLayout>
              <c:xMode val="edge"/>
              <c:yMode val="edge"/>
              <c:x val="0.27974854059888166"/>
              <c:y val="0.93269240476418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1833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590550</xdr:colOff>
      <xdr:row>35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CAFA98-C0ED-976B-7F65-1B9BECDA4116}"/>
            </a:ext>
          </a:extLst>
        </xdr:cNvPr>
        <xdr:cNvSpPr txBox="1"/>
      </xdr:nvSpPr>
      <xdr:spPr>
        <a:xfrm>
          <a:off x="0" y="0"/>
          <a:ext cx="3638550" cy="667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Formatação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u="sng">
              <a:latin typeface="+mn-lt"/>
              <a:ea typeface="+mn-lt"/>
              <a:cs typeface="+mn-lt"/>
            </a:rPr>
            <a:t>Padronização de Texto:</a:t>
          </a:r>
          <a:r>
            <a:rPr lang="en-US" sz="1100">
              <a:latin typeface="+mn-lt"/>
              <a:ea typeface="+mn-lt"/>
              <a:cs typeface="+mn-lt"/>
            </a:rPr>
            <a:t> Correção de erros de digitação e capitalização. Variações soltas que devem ser unificadas, padronizadas ou separadas.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u="sng">
              <a:latin typeface="+mn-lt"/>
              <a:ea typeface="+mn-lt"/>
              <a:cs typeface="+mn-lt"/>
            </a:rPr>
            <a:t>Limpeza de números:</a:t>
          </a:r>
          <a:r>
            <a:rPr lang="en-US" sz="1100">
              <a:latin typeface="+mn-lt"/>
              <a:ea typeface="+mn-lt"/>
              <a:cs typeface="+mn-lt"/>
            </a:rPr>
            <a:t> Conversão das colunas de renda mensal e crédito para o tipo monetário.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u="sng">
              <a:latin typeface="+mn-lt"/>
              <a:ea typeface="+mn-lt"/>
              <a:cs typeface="+mn-lt"/>
            </a:rPr>
            <a:t>Valores Condicionais:</a:t>
          </a:r>
          <a:r>
            <a:rPr lang="en-US" sz="1100">
              <a:latin typeface="+mn-lt"/>
              <a:ea typeface="+mn-lt"/>
              <a:cs typeface="+mn-lt"/>
            </a:rPr>
            <a:t> Unificar as variações de respostas para os padrões "S/Sim" ou "N/Não".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u="sng">
              <a:latin typeface="+mn-lt"/>
              <a:ea typeface="+mn-lt"/>
              <a:cs typeface="+mn-lt"/>
            </a:rPr>
            <a:t>Padronização de Datas:</a:t>
          </a:r>
          <a:r>
            <a:rPr lang="en-US" sz="1100">
              <a:latin typeface="+mn-lt"/>
              <a:ea typeface="+mn-lt"/>
              <a:cs typeface="+mn-lt"/>
            </a:rPr>
            <a:t> Converter os dados seriais/corrompidos para o formato de calendário.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u="sng">
              <a:latin typeface="+mn-lt"/>
              <a:ea typeface="+mn-lt"/>
              <a:cs typeface="+mn-lt"/>
            </a:rPr>
            <a:t>Formatação de CPFs:</a:t>
          </a:r>
          <a:r>
            <a:rPr lang="en-US" sz="1100">
              <a:latin typeface="+mn-lt"/>
              <a:ea typeface="+mn-lt"/>
              <a:cs typeface="+mn-lt"/>
            </a:rPr>
            <a:t> Formatar CPFs e tratar dados ausentes ou incompletos.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u="sng">
              <a:latin typeface="+mn-lt"/>
              <a:ea typeface="+mn-lt"/>
              <a:cs typeface="+mn-lt"/>
            </a:rPr>
            <a:t>Tratamento de Nulos não importantes:</a:t>
          </a:r>
          <a:r>
            <a:rPr lang="en-US" sz="1100">
              <a:latin typeface="+mn-lt"/>
              <a:ea typeface="+mn-lt"/>
              <a:cs typeface="+mn-lt"/>
            </a:rPr>
            <a:t> Destacar os dados cadastrais ausentes ("idade", "data_nascimento").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u="sng">
              <a:latin typeface="+mn-lt"/>
              <a:ea typeface="+mn-lt"/>
              <a:cs typeface="+mn-lt"/>
            </a:rPr>
            <a:t>Tratamento de Nulos Importantes:</a:t>
          </a:r>
          <a:r>
            <a:rPr lang="en-US" sz="1100">
              <a:latin typeface="+mn-lt"/>
              <a:ea typeface="+mn-lt"/>
              <a:cs typeface="+mn-lt"/>
            </a:rPr>
            <a:t> Destacar dados essenciais que estão nulos ("qtde_batalhas", "flag_inadimplente", "renda_mensal" "status").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</a:t>
          </a:r>
          <a:r>
            <a:rPr lang="en-US" sz="1100" u="sng">
              <a:latin typeface="+mn-lt"/>
              <a:ea typeface="+mn-lt"/>
              <a:cs typeface="+mn-lt"/>
            </a:rPr>
            <a:t>Tratamento de Duplicidades:</a:t>
          </a:r>
          <a:r>
            <a:rPr lang="en-US" sz="1100">
              <a:latin typeface="+mn-lt"/>
              <a:ea typeface="+mn-lt"/>
              <a:cs typeface="+mn-lt"/>
            </a:rPr>
            <a:t> Destacar CPFs duplicados. Manter as linhas com duplicidade, linhas idênticas e conflitos de dados para avaliação.</a:t>
          </a:r>
        </a:p>
        <a:p>
          <a:pPr marL="0" indent="0" algn="l"/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Formalização / Regras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</a:t>
          </a:r>
          <a:r>
            <a:rPr lang="en-US" sz="1100" b="0" i="0" u="sng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Criação da coluna de risco: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Classificar a coluna qtde_batalhas: até 10 batalhas recebe o valor "baixo", de 11 a 25 recebe "médio", e acima de 25 recebe "Alto".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</a:t>
          </a:r>
          <a:r>
            <a:rPr lang="en-US" sz="1100" b="0" i="0" u="sng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Primeira análise: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Criar a coluna análise_risco. Se a coluna de risco for "Alto" e a flag_inadimplente for "S", registrar como "Negada"; o restante recebe "Passa".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</a:t>
          </a:r>
          <a:r>
            <a:rPr lang="en-US" sz="1100" b="0" i="0" u="sng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Segunda análise: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Criação da coluna condicional cruzando valores. Se o credito_tomado for superior a 50.000 e a flag_inadimplente for "S", o status também é classificado como "Negada".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</a:t>
          </a:r>
          <a:r>
            <a:rPr lang="en-US" sz="1100" b="0" i="0" u="sng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Terceira Análise / Liberação: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Criar a coluna liberação_de_credito. Se a primeira e a segunda análises forem negativas, o valor resultante deve ser 0. Se a análise for positiva e o status do cliente for "Ativo", o valor liberado será o valor_solicitado multiplicado pela taxa de 8%.</a:t>
          </a:r>
        </a:p>
      </xdr:txBody>
    </xdr:sp>
    <xdr:clientData/>
  </xdr:twoCellAnchor>
  <xdr:twoCellAnchor>
    <xdr:from>
      <xdr:col>6</xdr:col>
      <xdr:colOff>600075</xdr:colOff>
      <xdr:row>0</xdr:row>
      <xdr:rowOff>0</xdr:rowOff>
    </xdr:from>
    <xdr:to>
      <xdr:col>18</xdr:col>
      <xdr:colOff>581025</xdr:colOff>
      <xdr:row>34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4CEFB1-95EA-4B55-8297-1AC76D54F09D}"/>
            </a:ext>
            <a:ext uri="{147F2762-F138-4A5C-976F-8EAC2B608ADB}">
              <a16:predDERef xmlns:a16="http://schemas.microsoft.com/office/drawing/2014/main" pred="{E9CAFA98-C0ED-976B-7F65-1B9BECDA4116}"/>
            </a:ext>
          </a:extLst>
        </xdr:cNvPr>
        <xdr:cNvSpPr txBox="1"/>
      </xdr:nvSpPr>
      <xdr:spPr>
        <a:xfrm>
          <a:off x="4257675" y="0"/>
          <a:ext cx="7296150" cy="665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Limpeza de Dados</a:t>
          </a:r>
          <a:endParaRPr lang="en-US" sz="11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Status:</a:t>
          </a:r>
          <a:r>
            <a:rPr lang="en-US" sz="1100" b="0">
              <a:latin typeface="+mn-lt"/>
              <a:ea typeface="+mn-lt"/>
              <a:cs typeface="+mn-lt"/>
            </a:rPr>
            <a:t> Padronização com Find &amp; Select (inat* -&gt; Inativo / ativ* -&gt; Ativo).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Nome:</a:t>
          </a:r>
          <a:r>
            <a:rPr lang="en-US" sz="1100" b="0">
              <a:latin typeface="+mn-lt"/>
              <a:ea typeface="+mn-lt"/>
              <a:cs typeface="+mn-lt"/>
            </a:rPr>
            <a:t> Criação de coluna auxiliar para capitalização com iniciais maiúsculas usando a fórmula =PROPER(B2). Substituição da coluna original.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CPF:</a:t>
          </a:r>
          <a:r>
            <a:rPr lang="en-US" sz="1100" b="0">
              <a:latin typeface="+mn-lt"/>
              <a:ea typeface="+mn-lt"/>
              <a:cs typeface="+mn-lt"/>
            </a:rPr>
            <a:t> Criação de coluna auxiliar para formatar CPFS a fórmula =TEXT(C2;"000\.000\.000\-00"). CPFs corrompidos/ausentes = N/A ou cédula vazia.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Idade:</a:t>
          </a:r>
          <a:r>
            <a:rPr lang="en-US" sz="1100" b="0">
              <a:latin typeface="+mn-lt"/>
              <a:ea typeface="+mn-lt"/>
              <a:cs typeface="+mn-lt"/>
            </a:rPr>
            <a:t> Limpeza do texto e padronização para "00" (numérico) usando =VALUE(SUBSTITUTE(LOWER(D2); " anos"; "")). Corrigir e validar idades cruzando com as datas de nascimento.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Data de Nascimento:</a:t>
          </a:r>
          <a:r>
            <a:rPr lang="en-US" sz="1100" b="0">
              <a:latin typeface="+mn-lt"/>
              <a:ea typeface="+mn-lt"/>
              <a:cs typeface="+mn-lt"/>
            </a:rPr>
            <a:t> Formatação aplicando "Short Date", visto que "23156" representa a contagem de dias em formato serial do sistema, e não um dado incompleto.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Cidade / Região:</a:t>
          </a:r>
          <a:r>
            <a:rPr lang="en-US" sz="1100" b="0">
              <a:latin typeface="+mn-lt"/>
              <a:ea typeface="+mn-lt"/>
              <a:cs typeface="+mn-lt"/>
            </a:rPr>
            <a:t> Separação das informações grudadas com a fórmula =TEXTSPLIT(A2; "|"). Preenchimento das regiões em branco baseando-se na cidade informada.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Colunas com Valores monetários:</a:t>
          </a:r>
          <a:r>
            <a:rPr lang="en-US" sz="1100" b="0">
              <a:latin typeface="+mn-lt"/>
              <a:ea typeface="+mn-lt"/>
              <a:cs typeface="+mn-lt"/>
            </a:rPr>
            <a:t> Find &amp; Select para remover o texto "moedas" e padronizar as colunas como monetárias. Colunas monetárias vazias ou "sem renda" receberam valores zerados (R$ -).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Booleanos:</a:t>
          </a:r>
          <a:r>
            <a:rPr lang="en-US" sz="1100" b="0">
              <a:latin typeface="+mn-lt"/>
              <a:ea typeface="+mn-lt"/>
              <a:cs typeface="+mn-lt"/>
            </a:rPr>
            <a:t> Find &amp; Select para padronizar os valores de inadimplência em "S" e "N".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Dados ausentes:</a:t>
          </a:r>
          <a:r>
            <a:rPr lang="en-US" sz="1100" b="0">
              <a:latin typeface="+mn-lt"/>
              <a:ea typeface="+mn-lt"/>
              <a:cs typeface="+mn-lt"/>
            </a:rPr>
            <a:t> Formatação condicional com cores para evidenciar dados ausentes que são importantes ou pouco importantes.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</a:t>
          </a:r>
          <a:r>
            <a:rPr lang="en-US" sz="1100" b="0" u="sng">
              <a:latin typeface="+mn-lt"/>
              <a:ea typeface="+mn-lt"/>
              <a:cs typeface="+mn-lt"/>
            </a:rPr>
            <a:t>Duplicidades de clientes:</a:t>
          </a:r>
          <a:r>
            <a:rPr lang="en-US" sz="1100" b="0" u="none">
              <a:latin typeface="+mn-lt"/>
              <a:ea typeface="+mn-lt"/>
              <a:cs typeface="+mn-lt"/>
            </a:rPr>
            <a:t> </a:t>
          </a:r>
          <a:r>
            <a:rPr lang="en-US" sz="1100" b="0">
              <a:latin typeface="+mn-lt"/>
              <a:ea typeface="+mn-lt"/>
              <a:cs typeface="+mn-lt"/>
            </a:rPr>
            <a:t>CPFs duplicados que apresentavam valores solicitados diferentes. Tratar como solicitações diferentes e da mesma pessoa, e não como erro de duplicação. (As solicitações múltiplas vão ser negadas e eu alego inconsistência nos dados.)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Fórmulas e Regras de Negócio</a:t>
          </a:r>
          <a:endParaRPr lang="en-US" sz="1100" b="0">
            <a:latin typeface="+mn-lt"/>
            <a:ea typeface="+mn-lt"/>
            <a:cs typeface="+mn-lt"/>
          </a:endParaRPr>
        </a:p>
        <a:p>
          <a:pPr marL="0" indent="0" algn="l"/>
          <a:endParaRPr lang="en-US" sz="11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Nível de Risco: =IF(J2&lt;=10; "Baixo"; SE(J2&lt;=25; "Médio"; "Alto"))</a:t>
          </a:r>
        </a:p>
        <a:p>
          <a:pPr marL="0" indent="0" algn="l"/>
          <a:endParaRPr lang="en-US" sz="11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Primeira Análise (v1): Fórmula inicial =IF(AND(K2="Alto";L2="S");"Negado";"Ok"). - Aprova clientes com cadastro incompleto.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Primeira Análise (v2): Considerar cédulas de status vaizas: =IF(A2="Inativo"; "Inativo"; IF(AND(K2="Alto"; L2="S"); "Negado"; "Ok")). - Aprova duplicados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Primeira Análise (v3): Desconsiderar cédulas vazias e duplicados: =IF(A2="Inativo"; "Inativo"; IF(A2=""; "Negado"; IF(COUNTIF(C:C; C2)&gt;1; "Negado"; IF(AND(K2="Alto"; L2="S"); "Negado"; "Aprovado"))))</a:t>
          </a:r>
        </a:p>
        <a:p>
          <a:pPr marL="0" indent="0" algn="l"/>
          <a:endParaRPr lang="en-US" sz="11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Segunda Análise (v1): Fórmula inicial =IF(AND(I2&gt;50000,L2="S"),"Negado","Ok"). - Aprovava inconsistentes e inativos (confia demais na primeira análise)</a:t>
          </a: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Segunda Análise (v2): =IF(A2="Inativo"; "Inativo"; IF(A2=""; "Negado"; IF(COUNTIF(C:C; C2)&gt;1; "Negado"; IF(AND(I2&gt;50000; L2="S"); "Negado"; "Aprovado")))).</a:t>
          </a:r>
        </a:p>
        <a:p>
          <a:pPr marL="0" indent="0" algn="l"/>
          <a:endParaRPr lang="en-US" sz="1100" b="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0">
              <a:latin typeface="+mn-lt"/>
              <a:ea typeface="+mn-lt"/>
              <a:cs typeface="+mn-lt"/>
            </a:rPr>
            <a:t>- Liberação de Crédito: =SE(OU(N2="Negado"; O2="Negado"; A2=""; L2=""); 0; SE(A2="Ativo"; M2*0,08; 0)).</a:t>
          </a:r>
        </a:p>
      </xdr:txBody>
    </xdr:sp>
    <xdr:clientData/>
  </xdr:twoCellAnchor>
  <xdr:twoCellAnchor>
    <xdr:from>
      <xdr:col>19</xdr:col>
      <xdr:colOff>590550</xdr:colOff>
      <xdr:row>0</xdr:row>
      <xdr:rowOff>9525</xdr:rowOff>
    </xdr:from>
    <xdr:to>
      <xdr:col>27</xdr:col>
      <xdr:colOff>0</xdr:colOff>
      <xdr:row>26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A77EF6-2C61-413F-8E18-E6C5373AB6B1}"/>
            </a:ext>
            <a:ext uri="{147F2762-F138-4A5C-976F-8EAC2B608ADB}">
              <a16:predDERef xmlns:a16="http://schemas.microsoft.com/office/drawing/2014/main" pred="{194CEFB1-95EA-4B55-8297-1AC76D54F09D}"/>
            </a:ext>
          </a:extLst>
        </xdr:cNvPr>
        <xdr:cNvSpPr txBox="1"/>
      </xdr:nvSpPr>
      <xdr:spPr>
        <a:xfrm>
          <a:off x="12172950" y="9525"/>
          <a:ext cx="4286250" cy="495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Perguntas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 = Nível de risco relacionado a flag_inadiplente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 = Quais fatores levam a liberação de crédito?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 qtde_batalhas alto estáo correlacionadas a renda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 cidade/regiao está correlacionada a renda</a:t>
          </a:r>
          <a:endParaRPr lang="en-US" sz="11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 = Qual a região com maior densidade de risco?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 Liberação de credito correlacionada com a cidade/região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 região com maior densidade de caloteiros/risco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dinheiro negado por região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------------------------------------------------------------------------------------------</a:t>
          </a:r>
        </a:p>
        <a:p>
          <a:pPr marL="0" indent="0" algn="l"/>
          <a:endParaRPr lang="en-US" sz="1100" b="1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 = Qual a região com maior risco?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 Liberação de credito correlacionada com a cidade/região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 Qual a região com maior densidade de caloteiros/risco?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 Quanto dinheiro foi negado por região?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-- </a:t>
          </a: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Quanto dinheiro foi salvo por negar emprestimo?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TIPO DE DADO: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Qualitativo Nominal / Quantitativo Contínuo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TIPO DE PERGUNTA RESPONDIDA: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Área com maior risco financeiro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MSG PRINCIPAL DO GRÁFICO: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Dorne concentra o maior volume de dinheiro salvo pelo banco através da negação de crédito a clientes de alto risco</a:t>
          </a:r>
          <a:endParaRPr lang="en-US" sz="11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QUAL GRÁFICO USAR: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Gráfico de Barras Horizontais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0</xdr:row>
      <xdr:rowOff>0</xdr:rowOff>
    </xdr:from>
    <xdr:to>
      <xdr:col>20</xdr:col>
      <xdr:colOff>962025</xdr:colOff>
      <xdr:row>4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BC63CCF-3D75-4868-AECD-BD8C00074AE9}"/>
            </a:ext>
            <a:ext uri="{147F2762-F138-4A5C-976F-8EAC2B608ADB}">
              <a16:predDERef xmlns:a16="http://schemas.microsoft.com/office/drawing/2014/main" pred="{2D3733A0-10F9-489F-86D3-D9B6455160F0}"/>
            </a:ext>
          </a:extLst>
        </xdr:cNvPr>
        <xdr:cNvSpPr txBox="1"/>
      </xdr:nvSpPr>
      <xdr:spPr>
        <a:xfrm>
          <a:off x="20231100" y="0"/>
          <a:ext cx="3895725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Legenda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🟥 Vermelho: Dados essenciais ausentes/duplicados.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 🟨 Amarelo: Dados de perfil ausentes.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161925</xdr:rowOff>
    </xdr:from>
    <xdr:to>
      <xdr:col>6</xdr:col>
      <xdr:colOff>590550</xdr:colOff>
      <xdr:row>28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2F8094A-17A9-98FF-B81E-EAF80D215119}"/>
            </a:ext>
            <a:ext uri="{147F2762-F138-4A5C-976F-8EAC2B608ADB}">
              <a16:predDERef xmlns:a16="http://schemas.microsoft.com/office/drawing/2014/main" pred="{AEE45ABB-88C4-C86C-666A-5FA62E33E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7.099334837963" createdVersion="8" refreshedVersion="8" minRefreshableVersion="3" recordCount="401" xr:uid="{EA64E797-4B36-4E15-AB04-49B2E2D1AA13}">
  <cacheSource type="worksheet">
    <worksheetSource name="Table1"/>
  </cacheSource>
  <cacheFields count="16">
    <cacheField name="status" numFmtId="0">
      <sharedItems containsBlank="1"/>
    </cacheField>
    <cacheField name="nome" numFmtId="0">
      <sharedItems/>
    </cacheField>
    <cacheField name="cpf" numFmtId="0">
      <sharedItems containsBlank="1"/>
    </cacheField>
    <cacheField name="idade" numFmtId="0">
      <sharedItems containsSemiMixedTypes="0" containsString="0" containsNumber="1" containsInteger="1" minValue="18" maxValue="74"/>
    </cacheField>
    <cacheField name="data_nascimento" numFmtId="14">
      <sharedItems containsNonDate="0" containsDate="1" containsString="0" containsBlank="1" minDate="1952-02-23T00:00:00" maxDate="2007-10-15T00:00:00"/>
    </cacheField>
    <cacheField name="cidade" numFmtId="0">
      <sharedItems/>
    </cacheField>
    <cacheField name="regiao" numFmtId="0">
      <sharedItems count="12">
        <s v="Terras Fluviais"/>
        <s v="Essos"/>
        <s v="Terras Da Coroa"/>
        <s v="Oeste"/>
        <s v="Terras Da Tempestade"/>
        <s v="Ilhas De Ferro"/>
        <s v="Dorne"/>
        <s v="Campina"/>
        <s v="Gargalo"/>
        <s v="Norte"/>
        <s v="Vale"/>
        <s v="" u="1"/>
      </sharedItems>
    </cacheField>
    <cacheField name="renda_mensal" numFmtId="164">
      <sharedItems containsSemiMixedTypes="0" containsString="0" containsNumber="1" containsInteger="1" minValue="0" maxValue="30000"/>
    </cacheField>
    <cacheField name="credito_tomado" numFmtId="164">
      <sharedItems containsString="0" containsBlank="1" containsNumber="1" containsInteger="1" minValue="0" maxValue="80000"/>
    </cacheField>
    <cacheField name="qtde_batalhas" numFmtId="0">
      <sharedItems containsString="0" containsBlank="1" containsNumber="1" containsInteger="1" minValue="0" maxValue="45"/>
    </cacheField>
    <cacheField name="nivel_risco" numFmtId="0">
      <sharedItems/>
    </cacheField>
    <cacheField name="flag_inadimplente" numFmtId="0">
      <sharedItems containsBlank="1"/>
    </cacheField>
    <cacheField name="valor_solicitado" numFmtId="164">
      <sharedItems containsSemiMixedTypes="0" containsString="0" containsNumber="1" containsInteger="1" minValue="1000" maxValue="100000"/>
    </cacheField>
    <cacheField name="primeira_analise" numFmtId="0">
      <sharedItems/>
    </cacheField>
    <cacheField name="segunda_analise" numFmtId="0">
      <sharedItems count="4">
        <s v="Aprovado"/>
        <s v="Inativo"/>
        <s v="Negado"/>
        <s v="Ok" u="1"/>
      </sharedItems>
    </cacheField>
    <cacheField name="liberacao_de_credito" numFmtId="164">
      <sharedItems containsSemiMixedTypes="0" containsString="0" containsNumber="1" containsInteger="1" minValue="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s v="Ativo"/>
    <s v="Asha Tallhart"/>
    <s v="000.000.006-00"/>
    <n v="59"/>
    <d v="1967-08-26T00:00:00"/>
    <s v="Correrrio"/>
    <x v="0"/>
    <n v="19900"/>
    <n v="55000"/>
    <n v="26"/>
    <s v="Alto"/>
    <s v="N"/>
    <n v="100000"/>
    <s v="Aprovado"/>
    <x v="0"/>
    <n v="8000"/>
  </r>
  <r>
    <s v="Ativo"/>
    <s v="Tormund  Cerwyn"/>
    <s v="000.000.039-00"/>
    <n v="33"/>
    <d v="1993-06-27T00:00:00"/>
    <s v="Meereen"/>
    <x v="1"/>
    <n v="28700"/>
    <n v="12500"/>
    <n v="41"/>
    <s v="Alto"/>
    <s v="N"/>
    <n v="99500"/>
    <s v="Aprovado"/>
    <x v="0"/>
    <n v="7960"/>
  </r>
  <r>
    <s v="Ativo"/>
    <s v="Daario Yronwood"/>
    <s v="000.000.183-00"/>
    <n v="72"/>
    <d v="1954-03-18T00:00:00"/>
    <s v="Porto Real"/>
    <x v="2"/>
    <n v="10200"/>
    <n v="0"/>
    <n v="27"/>
    <s v="Alto"/>
    <s v="N"/>
    <n v="99500"/>
    <s v="Aprovado"/>
    <x v="0"/>
    <n v="7960"/>
  </r>
  <r>
    <s v="Ativo"/>
    <s v="Roose Baelish"/>
    <s v="000.000.366-00"/>
    <n v="28"/>
    <d v="1998-06-02T00:00:00"/>
    <s v="Harrenhal"/>
    <x v="0"/>
    <n v="14600"/>
    <n v="23000"/>
    <n v="22"/>
    <s v="Médio"/>
    <s v="S"/>
    <n v="99000"/>
    <s v="Aprovado"/>
    <x v="0"/>
    <n v="7920"/>
  </r>
  <r>
    <s v="Ativo"/>
    <s v="Thoros Clegane"/>
    <s v="000.000.141-00"/>
    <n v="28"/>
    <d v="1998-07-17T00:00:00"/>
    <s v="Lannisporto"/>
    <x v="3"/>
    <n v="13400"/>
    <n v="54000"/>
    <n v="15"/>
    <s v="Médio"/>
    <s v="N"/>
    <n v="99000"/>
    <s v="Aprovado"/>
    <x v="0"/>
    <n v="7920"/>
  </r>
  <r>
    <s v="Ativo"/>
    <s v="Aegon Baelish"/>
    <s v="000.000.240-00"/>
    <n v="47"/>
    <d v="1979-06-25T00:00:00"/>
    <s v="Meereen"/>
    <x v="1"/>
    <n v="28400"/>
    <n v="78000"/>
    <n v="37"/>
    <s v="Alto"/>
    <s v="N"/>
    <n v="99000"/>
    <s v="Aprovado"/>
    <x v="0"/>
    <n v="7920"/>
  </r>
  <r>
    <s v="Ativo"/>
    <s v="Petyr Snow"/>
    <s v="000.000.219-00"/>
    <n v="67"/>
    <d v="1959-03-10T00:00:00"/>
    <s v="Ponta Tempestade"/>
    <x v="4"/>
    <n v="20200"/>
    <n v="6500"/>
    <n v="1"/>
    <s v="Baixo"/>
    <s v="N"/>
    <n v="98500"/>
    <s v="Aprovado"/>
    <x v="0"/>
    <n v="7880"/>
  </r>
  <r>
    <s v="Inativo"/>
    <s v="Jeor Martell"/>
    <s v="000.000.061-00"/>
    <n v="59"/>
    <d v="1967-09-11T00:00:00"/>
    <s v="Meereen"/>
    <x v="1"/>
    <n v="20100"/>
    <n v="40000"/>
    <n v="16"/>
    <s v="Médio"/>
    <s v="N"/>
    <n v="98500"/>
    <s v="Inativo"/>
    <x v="1"/>
    <n v="0"/>
  </r>
  <r>
    <s v="Inativo"/>
    <s v="Tormund Greyjoy"/>
    <s v="000.000.009-00"/>
    <n v="58"/>
    <d v="1968-02-04T00:00:00"/>
    <s v="Pyke"/>
    <x v="5"/>
    <n v="12500"/>
    <n v="44500"/>
    <n v="13"/>
    <s v="Médio"/>
    <s v="N"/>
    <n v="98500"/>
    <s v="Inativo"/>
    <x v="1"/>
    <n v="0"/>
  </r>
  <r>
    <s v="Ativo"/>
    <s v="Tormund Tyrell"/>
    <s v="000.000.378-00"/>
    <n v="34"/>
    <d v="1992-05-22T00:00:00"/>
    <s v="Dorne"/>
    <x v="6"/>
    <n v="28900"/>
    <n v="37000"/>
    <n v="21"/>
    <s v="Médio"/>
    <s v="N"/>
    <n v="97500"/>
    <s v="Aprovado"/>
    <x v="0"/>
    <n v="7800"/>
  </r>
  <r>
    <s v="Ativo"/>
    <s v="Grey  Worm  Greyjoy"/>
    <s v="000.000.182-00"/>
    <n v="58"/>
    <d v="1968-08-16T00:00:00"/>
    <s v="Jardim de Cima"/>
    <x v="7"/>
    <n v="4500"/>
    <n v="0"/>
    <n v="31"/>
    <s v="Alto"/>
    <s v="S"/>
    <n v="97500"/>
    <s v="Negado"/>
    <x v="0"/>
    <n v="0"/>
  </r>
  <r>
    <s v="Inativo"/>
    <s v="Tyrion Blackwood"/>
    <s v="000.000.100-00"/>
    <n v="67"/>
    <d v="1959-05-04T00:00:00"/>
    <s v="Atalaia da Água Cinzenta"/>
    <x v="8"/>
    <n v="15200"/>
    <n v="67500"/>
    <n v="12"/>
    <s v="Médio"/>
    <s v="N"/>
    <n v="97500"/>
    <s v="Inativo"/>
    <x v="1"/>
    <n v="0"/>
  </r>
  <r>
    <s v="Ativo"/>
    <s v="Margaery  Hornwood"/>
    <s v="000.000.151-00"/>
    <n v="25"/>
    <d v="2001-08-22T00:00:00"/>
    <s v="Dorne"/>
    <x v="6"/>
    <n v="2500"/>
    <n v="72500"/>
    <n v="32"/>
    <s v="Alto"/>
    <s v="N"/>
    <n v="97000"/>
    <s v="Aprovado"/>
    <x v="0"/>
    <n v="7760"/>
  </r>
  <r>
    <s v="Ativo"/>
    <s v="Robert Stark"/>
    <s v="000.000.315-00"/>
    <n v="57"/>
    <d v="1969-05-27T00:00:00"/>
    <s v="Harrenhal"/>
    <x v="0"/>
    <n v="20600"/>
    <n v="52500"/>
    <n v="16"/>
    <s v="Médio"/>
    <m/>
    <n v="97000"/>
    <s v="Aprovado"/>
    <x v="0"/>
    <n v="0"/>
  </r>
  <r>
    <s v="Inativo"/>
    <s v="Roose Cerwyn"/>
    <s v="000.000.047-00"/>
    <n v="63"/>
    <d v="1963-03-14T00:00:00"/>
    <s v="Vilavelha"/>
    <x v="7"/>
    <n v="17300"/>
    <n v="22000"/>
    <n v="10"/>
    <s v="Baixo"/>
    <s v="N"/>
    <n v="97000"/>
    <s v="Inativo"/>
    <x v="1"/>
    <n v="0"/>
  </r>
  <r>
    <s v="Ativo"/>
    <s v="Jojen Redwyne"/>
    <s v="000.000.334-00"/>
    <n v="24"/>
    <d v="2002-08-23T00:00:00"/>
    <s v="Dorne"/>
    <x v="6"/>
    <n v="8900"/>
    <n v="19500"/>
    <n v="33"/>
    <s v="Alto"/>
    <s v="S"/>
    <n v="96500"/>
    <s v="Negado"/>
    <x v="0"/>
    <n v="0"/>
  </r>
  <r>
    <s v="Ativo"/>
    <s v="Varys Arryn"/>
    <s v="000.000.097-00"/>
    <n v="56"/>
    <d v="1970-08-28T00:00:00"/>
    <s v="Vilavelha"/>
    <x v="7"/>
    <n v="5400"/>
    <n v="61000"/>
    <n v="12"/>
    <s v="Médio"/>
    <s v="N"/>
    <n v="96500"/>
    <s v="Aprovado"/>
    <x v="0"/>
    <n v="7720"/>
  </r>
  <r>
    <s v="Inativo"/>
    <s v="Missandei Tarly"/>
    <s v="000.000.002-00"/>
    <n v="55"/>
    <d v="1970-11-20T00:00:00"/>
    <s v="Ponta Tempestade"/>
    <x v="4"/>
    <n v="5300"/>
    <n v="6500"/>
    <n v="42"/>
    <s v="Alto"/>
    <s v="N"/>
    <n v="96000"/>
    <s v="Inativo"/>
    <x v="1"/>
    <n v="0"/>
  </r>
  <r>
    <s v="Ativo"/>
    <s v="Theon Baratheon"/>
    <s v="000.000.375-00"/>
    <n v="26"/>
    <d v="2000-04-06T00:00:00"/>
    <s v="Dorne"/>
    <x v="6"/>
    <n v="22900"/>
    <n v="65500"/>
    <n v="40"/>
    <s v="Alto"/>
    <s v="S"/>
    <n v="95500"/>
    <s v="Negado"/>
    <x v="2"/>
    <n v="0"/>
  </r>
  <r>
    <s v="Ativo"/>
    <s v="Jorah Marbrand"/>
    <s v="000.000.168-00"/>
    <n v="37"/>
    <d v="1988-09-28T00:00:00"/>
    <s v="Pedra do Dragão"/>
    <x v="2"/>
    <n v="12800"/>
    <n v="76500"/>
    <n v="30"/>
    <s v="Alto"/>
    <s v="N"/>
    <n v="95000"/>
    <s v="Negado"/>
    <x v="2"/>
    <n v="0"/>
  </r>
  <r>
    <s v="Ativo"/>
    <s v="Lyanna Stark"/>
    <s v="000.000.023-00"/>
    <n v="45"/>
    <d v="1981-07-02T00:00:00"/>
    <s v="Ponta Tempestade"/>
    <x v="4"/>
    <n v="24400"/>
    <n v="7500"/>
    <n v="13"/>
    <s v="Médio"/>
    <s v="N"/>
    <n v="95000"/>
    <s v="Aprovado"/>
    <x v="0"/>
    <n v="7600"/>
  </r>
  <r>
    <s v="Ativo"/>
    <s v="Jeor  Payne"/>
    <s v="000.000.209-00"/>
    <n v="33"/>
    <d v="1993-02-21T00:00:00"/>
    <s v="Ponta Tempestade"/>
    <x v="4"/>
    <n v="0"/>
    <n v="73500"/>
    <n v="33"/>
    <s v="Alto"/>
    <s v="N"/>
    <n v="95000"/>
    <s v="Aprovado"/>
    <x v="0"/>
    <n v="7600"/>
  </r>
  <r>
    <s v="Ativo"/>
    <s v="Jon Bolton"/>
    <s v="000.000.130-00"/>
    <n v="65"/>
    <d v="1961-01-16T00:00:00"/>
    <s v="Lannisporto"/>
    <x v="3"/>
    <n v="27300"/>
    <n v="48500"/>
    <n v="29"/>
    <s v="Alto"/>
    <s v="N"/>
    <n v="94000"/>
    <s v="Aprovado"/>
    <x v="0"/>
    <n v="7520"/>
  </r>
  <r>
    <s v="Ativo"/>
    <s v="Tormund Yronwood"/>
    <s v="000.000.187-00"/>
    <n v="39"/>
    <d v="1987-07-14T00:00:00"/>
    <s v="Correrrio"/>
    <x v="0"/>
    <n v="8700"/>
    <n v="4500"/>
    <n v="16"/>
    <s v="Médio"/>
    <s v="N"/>
    <n v="93500"/>
    <s v="Aprovado"/>
    <x v="0"/>
    <n v="7480"/>
  </r>
  <r>
    <s v="Ativo"/>
    <s v="Thoros  Baelish"/>
    <s v="000.000.011-00"/>
    <n v="53"/>
    <d v="1973-05-28T00:00:00"/>
    <s v="Meereen"/>
    <x v="1"/>
    <n v="27800"/>
    <n v="52000"/>
    <n v="43"/>
    <s v="Alto"/>
    <s v="N"/>
    <n v="93500"/>
    <s v="Aprovado"/>
    <x v="0"/>
    <n v="7480"/>
  </r>
  <r>
    <s v="Inativo"/>
    <s v="Robert Mallister"/>
    <s v="000.000.327-00"/>
    <n v="57"/>
    <d v="1969-06-15T00:00:00"/>
    <s v="Braavos"/>
    <x v="1"/>
    <n v="28600"/>
    <n v="73500"/>
    <n v="29"/>
    <s v="Alto"/>
    <s v="N"/>
    <n v="93500"/>
    <s v="Inativo"/>
    <x v="1"/>
    <n v="0"/>
  </r>
  <r>
    <s v="Ativo"/>
    <s v="Cersei Greyjoy"/>
    <s v="000.000.265-00"/>
    <n v="47"/>
    <d v="1978-12-17T00:00:00"/>
    <s v="Dorne"/>
    <x v="6"/>
    <n v="21300"/>
    <n v="62000"/>
    <n v="37"/>
    <s v="Alto"/>
    <s v="S"/>
    <n v="92500"/>
    <s v="Negado"/>
    <x v="2"/>
    <n v="0"/>
  </r>
  <r>
    <s v="Ativo"/>
    <s v="Daario  Dayne"/>
    <s v="000.000.144-00"/>
    <n v="25"/>
    <d v="2001-05-15T00:00:00"/>
    <s v="Solar do Entardecer"/>
    <x v="4"/>
    <n v="28200"/>
    <n v="0"/>
    <n v="29"/>
    <s v="Alto"/>
    <s v="N"/>
    <n v="92500"/>
    <s v="Aprovado"/>
    <x v="0"/>
    <n v="7400"/>
  </r>
  <r>
    <s v="Ativo"/>
    <s v="Gendry Cerwyn"/>
    <s v="000.000.153-00"/>
    <n v="24"/>
    <d v="2002-05-18T00:00:00"/>
    <s v="Lannisporto"/>
    <x v="3"/>
    <n v="14200"/>
    <n v="71000"/>
    <n v="10"/>
    <s v="Baixo"/>
    <s v="N"/>
    <n v="91500"/>
    <s v="Aprovado"/>
    <x v="0"/>
    <n v="7320"/>
  </r>
  <r>
    <s v="Ativo"/>
    <s v="Davos  Baratheon"/>
    <s v="000.000.055-00"/>
    <n v="27"/>
    <d v="1999-06-26T00:00:00"/>
    <s v="Winterfell"/>
    <x v="9"/>
    <n v="22500"/>
    <n v="55500"/>
    <n v="32"/>
    <s v="Alto"/>
    <s v="N"/>
    <n v="91500"/>
    <s v="Aprovado"/>
    <x v="0"/>
    <n v="7320"/>
  </r>
  <r>
    <s v="Ativo"/>
    <s v="Daario Tarth"/>
    <s v="000.000.255-00"/>
    <n v="70"/>
    <d v="1956-08-14T00:00:00"/>
    <s v="Braavos"/>
    <x v="1"/>
    <n v="15800"/>
    <n v="17500"/>
    <n v="18"/>
    <s v="Médio"/>
    <s v="N"/>
    <n v="91000"/>
    <s v="Aprovado"/>
    <x v="0"/>
    <n v="7280"/>
  </r>
  <r>
    <s v="Inativo"/>
    <s v="Bran Karstark"/>
    <s v="000.000.241-00"/>
    <n v="21"/>
    <d v="2004-12-07T00:00:00"/>
    <s v="Pyke"/>
    <x v="5"/>
    <n v="4400"/>
    <n v="23500"/>
    <n v="31"/>
    <s v="Alto"/>
    <s v="S"/>
    <n v="91000"/>
    <s v="Inativo"/>
    <x v="1"/>
    <n v="0"/>
  </r>
  <r>
    <s v="Ativo"/>
    <s v="Stannis Crakehall"/>
    <s v="000.000.351-00"/>
    <n v="71"/>
    <d v="1955-07-05T00:00:00"/>
    <s v="Lannisporto"/>
    <x v="3"/>
    <n v="14200"/>
    <n v="51000"/>
    <n v="10"/>
    <s v="Baixo"/>
    <s v="N"/>
    <n v="90500"/>
    <s v="Aprovado"/>
    <x v="0"/>
    <n v="7240"/>
  </r>
  <r>
    <s v="Inativo"/>
    <s v="Daario Marbrand"/>
    <s v="000.000.014-00"/>
    <n v="46"/>
    <d v="1979-09-15T00:00:00"/>
    <s v="Fosso Cailin"/>
    <x v="9"/>
    <n v="15000"/>
    <n v="32500"/>
    <n v="40"/>
    <s v="Alto"/>
    <s v="N"/>
    <n v="90500"/>
    <s v="Inativo"/>
    <x v="1"/>
    <n v="0"/>
  </r>
  <r>
    <s v="Ativo"/>
    <s v="Jojen Hornwood"/>
    <s v="000.000.128-00"/>
    <n v="36"/>
    <d v="1989-10-15T00:00:00"/>
    <s v="Pedra do Dragão"/>
    <x v="2"/>
    <n v="28600"/>
    <n v="0"/>
    <n v="19"/>
    <s v="Médio"/>
    <s v="N"/>
    <n v="90000"/>
    <s v="Aprovado"/>
    <x v="0"/>
    <n v="7200"/>
  </r>
  <r>
    <s v="Ativo"/>
    <s v="Renly Seaworth"/>
    <s v="000.000.350-00"/>
    <n v="18"/>
    <d v="2007-09-17T00:00:00"/>
    <s v="Vilavelha"/>
    <x v="7"/>
    <n v="28900"/>
    <n v="22000"/>
    <n v="23"/>
    <s v="Médio"/>
    <s v="N"/>
    <n v="90000"/>
    <s v="Aprovado"/>
    <x v="0"/>
    <n v="7200"/>
  </r>
  <r>
    <s v="Ativo"/>
    <s v="Roose Manderly"/>
    <s v="000.000.154-00"/>
    <n v="42"/>
    <d v="1983-11-22T00:00:00"/>
    <s v="Dorne"/>
    <x v="6"/>
    <n v="0"/>
    <n v="19500"/>
    <n v="42"/>
    <s v="Alto"/>
    <s v="N"/>
    <n v="89500"/>
    <s v="Aprovado"/>
    <x v="0"/>
    <n v="7160"/>
  </r>
  <r>
    <s v="Ativo"/>
    <s v="Melisandre Blackwood"/>
    <s v="000.000.051-00"/>
    <n v="40"/>
    <d v="1986-08-23T00:00:00"/>
    <s v="Fosso Cailin"/>
    <x v="9"/>
    <n v="18700"/>
    <n v="15000"/>
    <n v="26"/>
    <s v="Alto"/>
    <m/>
    <n v="89500"/>
    <s v="Aprovado"/>
    <x v="0"/>
    <n v="0"/>
  </r>
  <r>
    <s v="Ativo"/>
    <s v="Missandei Redwyne"/>
    <s v="000.000.111-00"/>
    <n v="47"/>
    <d v="1979-06-01T00:00:00"/>
    <s v="Meereen"/>
    <x v="1"/>
    <n v="5000"/>
    <n v="75500"/>
    <n v="2"/>
    <s v="Baixo"/>
    <s v="S"/>
    <n v="89500"/>
    <s v="Aprovado"/>
    <x v="2"/>
    <n v="0"/>
  </r>
  <r>
    <s v="Ativo"/>
    <s v="Margaery Redwyne"/>
    <s v="000.000.018-00"/>
    <n v="47"/>
    <d v="1979-07-18T00:00:00"/>
    <s v="Monte Chifre"/>
    <x v="7"/>
    <n v="18400"/>
    <n v="0"/>
    <n v="31"/>
    <s v="Alto"/>
    <s v="S"/>
    <n v="89500"/>
    <s v="Negado"/>
    <x v="0"/>
    <n v="0"/>
  </r>
  <r>
    <s v="Ativo"/>
    <s v="Roose Bolton"/>
    <s v="000.000.137-00"/>
    <n v="73"/>
    <d v="1952-11-25T00:00:00"/>
    <s v="Atalaia da Água Cinzenta"/>
    <x v="8"/>
    <n v="18100"/>
    <n v="0"/>
    <n v="36"/>
    <s v="Alto"/>
    <s v="N"/>
    <n v="89000"/>
    <s v="Aprovado"/>
    <x v="0"/>
    <n v="7120"/>
  </r>
  <r>
    <s v="Ativo"/>
    <s v="Aegon Blackwood"/>
    <s v="000.000.118-00"/>
    <n v="69"/>
    <d v="1957-08-22T00:00:00"/>
    <s v="Jardim de Cima"/>
    <x v="7"/>
    <n v="23800"/>
    <n v="0"/>
    <n v="26"/>
    <s v="Alto"/>
    <m/>
    <n v="89000"/>
    <s v="Aprovado"/>
    <x v="0"/>
    <n v="0"/>
  </r>
  <r>
    <s v="Ativo"/>
    <s v="Catelyn Yronwood"/>
    <s v="000.000.226-00"/>
    <n v="38"/>
    <d v="1988-01-24T00:00:00"/>
    <s v="Castelo Negro"/>
    <x v="9"/>
    <n v="19500"/>
    <n v="39000"/>
    <n v="25"/>
    <s v="Médio"/>
    <s v="N"/>
    <n v="88500"/>
    <s v="Aprovado"/>
    <x v="0"/>
    <n v="7080"/>
  </r>
  <r>
    <s v="Ativo"/>
    <s v="Melisandre Crakehall"/>
    <s v="000.000.268-00"/>
    <n v="60"/>
    <d v="1965-12-24T00:00:00"/>
    <s v="Correrrio"/>
    <x v="0"/>
    <n v="9700"/>
    <n v="61000"/>
    <n v="9"/>
    <s v="Baixo"/>
    <s v="S"/>
    <n v="88000"/>
    <s v="Aprovado"/>
    <x v="2"/>
    <n v="0"/>
  </r>
  <r>
    <s v="Inativo"/>
    <s v="Rhaegar Stark"/>
    <s v="000.000.119-00"/>
    <n v="33"/>
    <d v="1993-04-23T00:00:00"/>
    <s v="Meereen"/>
    <x v="1"/>
    <n v="23600"/>
    <n v="75500"/>
    <n v="16"/>
    <s v="Médio"/>
    <s v="N"/>
    <n v="88000"/>
    <s v="Inativo"/>
    <x v="1"/>
    <n v="0"/>
  </r>
  <r>
    <s v="Inativo"/>
    <s v="Aegon Hornwood"/>
    <s v="000.000.171-00"/>
    <n v="45"/>
    <d v="1980-10-12T00:00:00"/>
    <s v="Solar do Entardecer"/>
    <x v="4"/>
    <n v="5100"/>
    <n v="25000"/>
    <n v="29"/>
    <s v="Alto"/>
    <s v="N"/>
    <n v="88000"/>
    <s v="Inativo"/>
    <x v="1"/>
    <n v="0"/>
  </r>
  <r>
    <m/>
    <s v="Bronn Umber"/>
    <s v="000.000.177-00"/>
    <n v="56"/>
    <d v="1970-05-17T00:00:00"/>
    <s v="Porto Real"/>
    <x v="2"/>
    <n v="11100"/>
    <n v="13000"/>
    <n v="38"/>
    <s v="Alto"/>
    <s v="N"/>
    <n v="88000"/>
    <s v="Negado"/>
    <x v="2"/>
    <n v="0"/>
  </r>
  <r>
    <s v="Inativo"/>
    <s v="Jorah Redwyne"/>
    <s v="000.000.040-00"/>
    <n v="48"/>
    <d v="1978-06-22T00:00:00"/>
    <s v="Porto Real"/>
    <x v="2"/>
    <n v="24700"/>
    <n v="30500"/>
    <n v="34"/>
    <s v="Alto"/>
    <s v="N"/>
    <n v="87500"/>
    <s v="Inativo"/>
    <x v="1"/>
    <n v="0"/>
  </r>
  <r>
    <s v="Ativo"/>
    <s v="Catelyn Tarly"/>
    <s v="000.000.163-00"/>
    <n v="27"/>
    <d v="1999-04-05T00:00:00"/>
    <s v="Castelo Negro"/>
    <x v="9"/>
    <n v="14000"/>
    <n v="63500"/>
    <n v="24"/>
    <s v="Médio"/>
    <s v="N"/>
    <n v="87000"/>
    <s v="Aprovado"/>
    <x v="0"/>
    <n v="6960"/>
  </r>
  <r>
    <s v="Ativo"/>
    <s v="Tyrion Snow"/>
    <s v="000.000.279-00"/>
    <n v="71"/>
    <d v="1955-01-05T00:00:00"/>
    <s v="Monte Chifre"/>
    <x v="7"/>
    <n v="24100"/>
    <n v="0"/>
    <n v="10"/>
    <s v="Baixo"/>
    <s v="N"/>
    <n v="87000"/>
    <s v="Aprovado"/>
    <x v="0"/>
    <n v="6960"/>
  </r>
  <r>
    <s v="Ativo"/>
    <s v="Robb Baratheon"/>
    <s v="000.000.365-00"/>
    <n v="54"/>
    <d v="1972-03-24T00:00:00"/>
    <s v="Ponta Tempestade"/>
    <x v="4"/>
    <n v="22100"/>
    <n v="37000"/>
    <n v="34"/>
    <s v="Alto"/>
    <s v="N"/>
    <n v="87000"/>
    <s v="Aprovado"/>
    <x v="0"/>
    <n v="6960"/>
  </r>
  <r>
    <s v="Inativo"/>
    <s v="Viserys Florent"/>
    <s v="000.000.129-00"/>
    <n v="59"/>
    <d v="1967-03-23T00:00:00"/>
    <s v="Meereen"/>
    <x v="1"/>
    <n v="15200"/>
    <n v="11000"/>
    <n v="27"/>
    <s v="Alto"/>
    <s v="N"/>
    <n v="87000"/>
    <s v="Inativo"/>
    <x v="1"/>
    <n v="0"/>
  </r>
  <r>
    <s v="Inativo"/>
    <s v="Eddard Westerling"/>
    <s v="000.000.094-00"/>
    <n v="52"/>
    <d v="1974-06-06T00:00:00"/>
    <s v="Ponta Tempestade"/>
    <x v="4"/>
    <n v="6400"/>
    <n v="37000"/>
    <n v="1"/>
    <s v="Baixo"/>
    <s v="N"/>
    <n v="87000"/>
    <s v="Inativo"/>
    <x v="1"/>
    <n v="0"/>
  </r>
  <r>
    <s v="Inativo"/>
    <s v="Asha Arryn"/>
    <s v="000.000.122-00"/>
    <n v="49"/>
    <d v="1976-10-16T00:00:00"/>
    <s v="Castelo Negro"/>
    <x v="9"/>
    <n v="25200"/>
    <n v="59500"/>
    <n v="37"/>
    <s v="Alto"/>
    <s v="N"/>
    <n v="86500"/>
    <s v="Inativo"/>
    <x v="1"/>
    <n v="0"/>
  </r>
  <r>
    <s v="Ativo"/>
    <s v="Thoros Karstark"/>
    <s v="000.000.012-00"/>
    <n v="53"/>
    <d v="1972-11-28T00:00:00"/>
    <s v="Atalaia da Água Cinzenta"/>
    <x v="8"/>
    <n v="22700"/>
    <n v="42500"/>
    <n v="25"/>
    <s v="Médio"/>
    <s v="S"/>
    <n v="86000"/>
    <s v="Aprovado"/>
    <x v="0"/>
    <n v="6880"/>
  </r>
  <r>
    <s v="Ativo"/>
    <s v="Gendry Hightower"/>
    <s v="000.000.167-00"/>
    <n v="26"/>
    <d v="1999-11-11T00:00:00"/>
    <s v="Harrenhal"/>
    <x v="0"/>
    <n v="13900"/>
    <n v="53500"/>
    <n v="12"/>
    <s v="Médio"/>
    <s v="N"/>
    <n v="85000"/>
    <s v="Aprovado"/>
    <x v="0"/>
    <n v="6800"/>
  </r>
  <r>
    <s v="Ativo"/>
    <s v="Missandei Florent"/>
    <s v="000.000.282-00"/>
    <n v="56"/>
    <d v="1970-04-13T00:00:00"/>
    <s v="Harrenhal"/>
    <x v="0"/>
    <n v="28300"/>
    <n v="56000"/>
    <n v="6"/>
    <s v="Baixo"/>
    <s v="N"/>
    <n v="84500"/>
    <s v="Negado"/>
    <x v="2"/>
    <n v="0"/>
  </r>
  <r>
    <s v="Inativo"/>
    <s v="Thoros Hornwood"/>
    <s v="000.000.245-00"/>
    <n v="65"/>
    <d v="1960-10-16T00:00:00"/>
    <s v="Castelo Negro"/>
    <x v="9"/>
    <n v="19800"/>
    <n v="78500"/>
    <n v="34"/>
    <s v="Alto"/>
    <s v="N"/>
    <n v="84000"/>
    <s v="Inativo"/>
    <x v="1"/>
    <n v="0"/>
  </r>
  <r>
    <s v="Inativo"/>
    <s v="Loras Baelish"/>
    <s v="000.000.217-00"/>
    <n v="68"/>
    <d v="1958-01-20T00:00:00"/>
    <s v="Jardim de Cima"/>
    <x v="7"/>
    <n v="8200"/>
    <n v="66000"/>
    <n v="16"/>
    <s v="Médio"/>
    <s v="N"/>
    <n v="84000"/>
    <s v="Inativo"/>
    <x v="1"/>
    <n v="0"/>
  </r>
  <r>
    <s v="Ativo"/>
    <s v="Catelyn Mallister"/>
    <s v="000.000.062-00"/>
    <n v="63"/>
    <d v="1962-12-26T00:00:00"/>
    <s v="Castelo Negro"/>
    <x v="9"/>
    <n v="11200"/>
    <n v="0"/>
    <n v="41"/>
    <s v="Alto"/>
    <m/>
    <n v="83500"/>
    <s v="Aprovado"/>
    <x v="0"/>
    <n v="0"/>
  </r>
  <r>
    <s v="Ativo"/>
    <s v="Beric Tallhart"/>
    <s v="000.000.048-00"/>
    <n v="33"/>
    <d v="1993-04-25T00:00:00"/>
    <s v="Ilha dos Ursos"/>
    <x v="9"/>
    <n v="29700"/>
    <n v="38000"/>
    <n v="41"/>
    <s v="Alto"/>
    <s v="S"/>
    <n v="83500"/>
    <s v="Negado"/>
    <x v="0"/>
    <n v="0"/>
  </r>
  <r>
    <s v="Ativo"/>
    <s v="Asha Redwyne"/>
    <s v="000.000.102-00"/>
    <n v="35"/>
    <d v="1991-07-25T00:00:00"/>
    <s v="Pedra do Dragão"/>
    <x v="2"/>
    <n v="8400"/>
    <n v="62500"/>
    <n v="31"/>
    <s v="Alto"/>
    <s v="N"/>
    <n v="83500"/>
    <s v="Aprovado"/>
    <x v="0"/>
    <n v="6680"/>
  </r>
  <r>
    <s v="Inativo"/>
    <s v="Jaime Bracken"/>
    <s v="000.000.166-00"/>
    <n v="35"/>
    <d v="1991-06-28T00:00:00"/>
    <s v="Jardim de Cima"/>
    <x v="7"/>
    <n v="12400"/>
    <n v="0"/>
    <n v="3"/>
    <s v="Baixo"/>
    <s v="N"/>
    <n v="83500"/>
    <s v="Inativo"/>
    <x v="1"/>
    <n v="0"/>
  </r>
  <r>
    <m/>
    <s v="Meera Payne"/>
    <s v="000.000.131-00"/>
    <n v="63"/>
    <d v="1962-11-24T00:00:00"/>
    <s v="Dorne"/>
    <x v="6"/>
    <n v="14700"/>
    <n v="0"/>
    <n v="40"/>
    <s v="Alto"/>
    <s v="S"/>
    <n v="83500"/>
    <s v="Negado"/>
    <x v="2"/>
    <n v="0"/>
  </r>
  <r>
    <s v="Ativo"/>
    <s v="Thoros Payne"/>
    <s v="000.000.077-00"/>
    <n v="40"/>
    <d v="1985-10-17T00:00:00"/>
    <s v="Harrenhal"/>
    <x v="0"/>
    <n v="14000"/>
    <n v="0"/>
    <n v="24"/>
    <s v="Médio"/>
    <s v="N"/>
    <n v="82000"/>
    <s v="Aprovado"/>
    <x v="0"/>
    <n v="6560"/>
  </r>
  <r>
    <s v="Ativo"/>
    <s v="Brienne Karstark"/>
    <s v="000.000.031-00"/>
    <n v="23"/>
    <d v="2002-10-01T00:00:00"/>
    <s v="Pyke"/>
    <x v="5"/>
    <n v="10700"/>
    <n v="15000"/>
    <n v="42"/>
    <s v="Alto"/>
    <s v="N"/>
    <n v="81500"/>
    <s v="Aprovado"/>
    <x v="0"/>
    <n v="6520"/>
  </r>
  <r>
    <s v="Inativo"/>
    <s v="Cersei  Marbrand"/>
    <s v="000.000.158-00"/>
    <n v="57"/>
    <d v="1969-05-01T00:00:00"/>
    <s v="Ilha dos Ursos"/>
    <x v="9"/>
    <n v="9500"/>
    <n v="58000"/>
    <n v="23"/>
    <s v="Médio"/>
    <s v="N"/>
    <n v="81500"/>
    <s v="Inativo"/>
    <x v="1"/>
    <n v="0"/>
  </r>
  <r>
    <s v="Ativo"/>
    <s v="Ellaria Martell"/>
    <s v="000.000.148-00"/>
    <n v="48"/>
    <d v="1978-07-02T00:00:00"/>
    <s v="Atalaia da Água Cinzenta"/>
    <x v="8"/>
    <n v="2300"/>
    <n v="26500"/>
    <n v="44"/>
    <s v="Alto"/>
    <s v="N"/>
    <n v="81000"/>
    <s v="Aprovado"/>
    <x v="0"/>
    <n v="6480"/>
  </r>
  <r>
    <s v="Ativo"/>
    <s v="Tormund Karstark"/>
    <s v="000.000.284-00"/>
    <n v="42"/>
    <d v="1983-12-12T00:00:00"/>
    <s v="Castelo Negro"/>
    <x v="9"/>
    <n v="20400"/>
    <n v="0"/>
    <n v="0"/>
    <s v="Baixo"/>
    <s v="N"/>
    <n v="81000"/>
    <s v="Aprovado"/>
    <x v="0"/>
    <n v="6480"/>
  </r>
  <r>
    <s v="Ativo"/>
    <s v="Daario Clegane"/>
    <s v="000.000.270-00"/>
    <n v="33"/>
    <d v="1992-10-04T00:00:00"/>
    <s v="Castelo Negro"/>
    <x v="9"/>
    <n v="29700"/>
    <n v="22000"/>
    <n v="38"/>
    <s v="Alto"/>
    <s v="N"/>
    <n v="81000"/>
    <s v="Aprovado"/>
    <x v="0"/>
    <n v="6480"/>
  </r>
  <r>
    <s v="Ativo"/>
    <s v="Rhaegar Dayne"/>
    <s v="000.000.335-00"/>
    <n v="35"/>
    <d v="1991-03-12T00:00:00"/>
    <s v="Correrrio"/>
    <x v="0"/>
    <n v="28500"/>
    <n v="48500"/>
    <n v="24"/>
    <s v="Médio"/>
    <s v="N"/>
    <n v="80500"/>
    <s v="Aprovado"/>
    <x v="0"/>
    <n v="6440"/>
  </r>
  <r>
    <s v="Inativo"/>
    <s v="Cersei Glover"/>
    <s v="000.000.324-00"/>
    <n v="49"/>
    <d v="1977-06-10T00:00:00"/>
    <s v="Pyke"/>
    <x v="5"/>
    <n v="21900"/>
    <n v="69000"/>
    <n v="4"/>
    <s v="Baixo"/>
    <s v="N"/>
    <n v="80500"/>
    <s v="Inativo"/>
    <x v="1"/>
    <n v="0"/>
  </r>
  <r>
    <s v="Ativo"/>
    <s v="Robert Cerwyn"/>
    <s v="000.000.300-00"/>
    <n v="48"/>
    <d v="1978-01-19T00:00:00"/>
    <s v="Harrenhal"/>
    <x v="0"/>
    <n v="17800"/>
    <n v="9000"/>
    <n v="28"/>
    <s v="Alto"/>
    <s v="N"/>
    <n v="80000"/>
    <s v="Aprovado"/>
    <x v="0"/>
    <n v="6400"/>
  </r>
  <r>
    <s v="Ativo"/>
    <s v="Missandei  Tarly"/>
    <s v="000.000.196-00"/>
    <n v="58"/>
    <d v="1968-03-08T00:00:00"/>
    <s v="Meereen"/>
    <x v="1"/>
    <n v="12400"/>
    <n v="21500"/>
    <n v="24"/>
    <s v="Médio"/>
    <s v="S"/>
    <n v="80000"/>
    <s v="Aprovado"/>
    <x v="0"/>
    <n v="6400"/>
  </r>
  <r>
    <s v="Inativo"/>
    <s v="Beric Tallhart"/>
    <s v="000.000.291-00"/>
    <n v="44"/>
    <d v="1981-12-28T00:00:00"/>
    <s v="Dorne"/>
    <x v="6"/>
    <n v="0"/>
    <n v="0"/>
    <n v="4"/>
    <s v="Baixo"/>
    <s v="N"/>
    <n v="80000"/>
    <s v="Inativo"/>
    <x v="1"/>
    <n v="0"/>
  </r>
  <r>
    <s v="Ativo"/>
    <s v="Jojen Dayne"/>
    <s v="000.000.199-00"/>
    <n v="69"/>
    <m/>
    <s v="Solar do Entardecer"/>
    <x v="4"/>
    <n v="11400"/>
    <n v="0"/>
    <n v="13"/>
    <s v="Médio"/>
    <s v="S"/>
    <n v="79000"/>
    <s v="Aprovado"/>
    <x v="0"/>
    <n v="6320"/>
  </r>
  <r>
    <s v="Inativo"/>
    <s v="Podrick Blackwood"/>
    <s v="000.000.083-00"/>
    <n v="31"/>
    <d v="1995-05-09T00:00:00"/>
    <s v="Porto Real"/>
    <x v="2"/>
    <n v="24900"/>
    <n v="72000"/>
    <n v="35"/>
    <s v="Alto"/>
    <s v="N"/>
    <n v="79000"/>
    <s v="Inativo"/>
    <x v="1"/>
    <n v="0"/>
  </r>
  <r>
    <s v="Ativo"/>
    <s v="Jon  Karstark"/>
    <s v="000.000.139-00"/>
    <n v="55"/>
    <d v="1971-08-16T00:00:00"/>
    <s v="Jardim de Cima"/>
    <x v="7"/>
    <n v="12200"/>
    <n v="70500"/>
    <n v="33"/>
    <s v="Alto"/>
    <s v="N"/>
    <n v="78000"/>
    <s v="Aprovado"/>
    <x v="0"/>
    <n v="6240"/>
  </r>
  <r>
    <s v="Ativo"/>
    <s v="Daenerys Tallhart"/>
    <s v="000.000.092-00"/>
    <n v="37"/>
    <d v="1989-02-04T00:00:00"/>
    <s v="Vilavelha"/>
    <x v="7"/>
    <n v="29200"/>
    <n v="45000"/>
    <n v="26"/>
    <s v="Alto"/>
    <s v="N"/>
    <n v="78000"/>
    <s v="Negado"/>
    <x v="2"/>
    <n v="0"/>
  </r>
  <r>
    <s v="Ativo"/>
    <s v="Sandor Westerling"/>
    <s v="000.000.008-00"/>
    <n v="71"/>
    <d v="1954-10-03T00:00:00"/>
    <s v="Atalaia da Água Cinzenta"/>
    <x v="8"/>
    <n v="15100"/>
    <n v="0"/>
    <n v="42"/>
    <s v="Alto"/>
    <s v="N"/>
    <n v="77000"/>
    <s v="Aprovado"/>
    <x v="0"/>
    <n v="6160"/>
  </r>
  <r>
    <s v="Ativo"/>
    <s v="Missandei Florent"/>
    <s v="000.000.282-00"/>
    <n v="56"/>
    <d v="1970-04-13T00:00:00"/>
    <s v="Harrenhal"/>
    <x v="0"/>
    <n v="28300"/>
    <n v="56000"/>
    <n v="6"/>
    <s v="Baixo"/>
    <s v="N"/>
    <n v="77000"/>
    <s v="Negado"/>
    <x v="2"/>
    <n v="0"/>
  </r>
  <r>
    <s v="Inativo"/>
    <s v="Cersei Tarth"/>
    <s v="000.000.203-00"/>
    <n v="46"/>
    <d v="1980-07-25T00:00:00"/>
    <s v="Harrenhal"/>
    <x v="0"/>
    <n v="0"/>
    <n v="37500"/>
    <m/>
    <s v="Baixo"/>
    <s v="N"/>
    <n v="77000"/>
    <s v="Inativo"/>
    <x v="1"/>
    <n v="0"/>
  </r>
  <r>
    <s v="Inativo"/>
    <s v="Renly Dayne"/>
    <s v="000.000.065-00"/>
    <n v="72"/>
    <d v="1953-11-09T00:00:00"/>
    <s v="Dorne"/>
    <x v="6"/>
    <n v="21000"/>
    <n v="0"/>
    <n v="11"/>
    <s v="Médio"/>
    <s v="N"/>
    <n v="75500"/>
    <s v="Inativo"/>
    <x v="1"/>
    <n v="0"/>
  </r>
  <r>
    <s v="Ativo"/>
    <s v="Jon Hornwood"/>
    <s v="000.000.331-00"/>
    <n v="26"/>
    <d v="2000-08-21T00:00:00"/>
    <s v="Dorne"/>
    <x v="6"/>
    <n v="23200"/>
    <n v="54500"/>
    <n v="26"/>
    <s v="Alto"/>
    <s v="S"/>
    <n v="75000"/>
    <s v="Negado"/>
    <x v="2"/>
    <n v="0"/>
  </r>
  <r>
    <s v="Ativo"/>
    <s v="Thoros Tarth"/>
    <s v="000.000.280-00"/>
    <n v="41"/>
    <d v="1985-04-19T00:00:00"/>
    <s v="Fosso Cailin"/>
    <x v="9"/>
    <n v="26500"/>
    <n v="29500"/>
    <n v="5"/>
    <s v="Baixo"/>
    <s v="N"/>
    <n v="75000"/>
    <s v="Aprovado"/>
    <x v="0"/>
    <n v="6000"/>
  </r>
  <r>
    <s v="Ativo"/>
    <s v="Podrick Targaryen"/>
    <s v="000.000.050-00"/>
    <n v="39"/>
    <d v="1987-04-12T00:00:00"/>
    <s v="Vilavelha"/>
    <x v="7"/>
    <n v="29900"/>
    <n v="0"/>
    <n v="39"/>
    <s v="Alto"/>
    <s v="N"/>
    <n v="75000"/>
    <s v="Aprovado"/>
    <x v="0"/>
    <n v="6000"/>
  </r>
  <r>
    <s v="Ativo"/>
    <s v="Olenna Hornwood"/>
    <s v="000.000.299-00"/>
    <n v="46"/>
    <m/>
    <s v="Castelo Negro"/>
    <x v="9"/>
    <n v="21300"/>
    <n v="60500"/>
    <n v="15"/>
    <s v="Médio"/>
    <m/>
    <n v="74500"/>
    <s v="Aprovado"/>
    <x v="0"/>
    <n v="0"/>
  </r>
  <r>
    <s v="Ativo"/>
    <s v="Rhaegar Lannister"/>
    <s v="000.000.370-00"/>
    <n v="24"/>
    <d v="2002-02-03T00:00:00"/>
    <s v="Jardim de Cima"/>
    <x v="7"/>
    <n v="6400"/>
    <n v="41000"/>
    <n v="22"/>
    <s v="Médio"/>
    <s v="N"/>
    <n v="74500"/>
    <s v="Aprovado"/>
    <x v="0"/>
    <n v="5960"/>
  </r>
  <r>
    <s v="Inativo"/>
    <s v="Bronn Manderly"/>
    <s v="000.000.074-00"/>
    <n v="69"/>
    <d v="1956-11-26T00:00:00"/>
    <s v="Castelo Negro"/>
    <x v="9"/>
    <n v="16000"/>
    <n v="48000"/>
    <n v="29"/>
    <s v="Alto"/>
    <s v="N"/>
    <n v="74500"/>
    <s v="Inativo"/>
    <x v="1"/>
    <n v="0"/>
  </r>
  <r>
    <s v="Inativo"/>
    <s v="Jeor Baelish"/>
    <s v="000.000.332-00"/>
    <n v="66"/>
    <d v="1960-05-03T00:00:00"/>
    <s v="Dorne"/>
    <x v="6"/>
    <n v="14300"/>
    <n v="78000"/>
    <n v="28"/>
    <s v="Alto"/>
    <s v="N"/>
    <n v="74500"/>
    <s v="Inativo"/>
    <x v="1"/>
    <n v="0"/>
  </r>
  <r>
    <s v="Ativo"/>
    <s v="Ramsay Hornwood"/>
    <s v="000.000.005-00"/>
    <n v="65"/>
    <d v="1960-11-16T00:00:00"/>
    <s v="Pyke"/>
    <x v="5"/>
    <n v="23400"/>
    <n v="28000"/>
    <n v="34"/>
    <s v="Alto"/>
    <s v="N"/>
    <n v="74000"/>
    <s v="Aprovado"/>
    <x v="0"/>
    <n v="5920"/>
  </r>
  <r>
    <s v="Ativo"/>
    <s v="Podrick Dayne"/>
    <s v="000.000.223-00"/>
    <n v="25"/>
    <d v="2000-11-01T00:00:00"/>
    <s v="Vilavelha"/>
    <x v="7"/>
    <n v="9400"/>
    <n v="51500"/>
    <n v="14"/>
    <s v="Médio"/>
    <s v="N"/>
    <n v="74000"/>
    <s v="Negado"/>
    <x v="2"/>
    <n v="0"/>
  </r>
  <r>
    <s v="Ativo"/>
    <s v="Jorah Stark"/>
    <s v="000.000.021-00"/>
    <n v="45"/>
    <d v="1980-12-20T00:00:00"/>
    <s v="Braavos"/>
    <x v="1"/>
    <n v="16200"/>
    <n v="59000"/>
    <n v="4"/>
    <s v="Baixo"/>
    <s v="N"/>
    <n v="73500"/>
    <s v="Aprovado"/>
    <x v="0"/>
    <n v="5880"/>
  </r>
  <r>
    <s v="Ativo"/>
    <s v="Petyr Greyjoy"/>
    <s v="000.000.301-00"/>
    <n v="42"/>
    <d v="1984-08-04T00:00:00"/>
    <s v="Lannisporto"/>
    <x v="3"/>
    <n v="20800"/>
    <n v="54000"/>
    <n v="4"/>
    <s v="Baixo"/>
    <s v="N"/>
    <n v="73500"/>
    <s v="Aprovado"/>
    <x v="0"/>
    <n v="5880"/>
  </r>
  <r>
    <s v="Ativo"/>
    <s v="Bronn Royce"/>
    <s v="000.000.369-00"/>
    <n v="61"/>
    <d v="1965-07-05T00:00:00"/>
    <s v="Solar do Entardecer"/>
    <x v="4"/>
    <n v="22900"/>
    <n v="7500"/>
    <n v="12"/>
    <s v="Médio"/>
    <s v="N"/>
    <n v="73000"/>
    <s v="Negado"/>
    <x v="2"/>
    <n v="0"/>
  </r>
  <r>
    <s v="Inativo"/>
    <s v="Eddard Dayne"/>
    <s v="000.000.032-00"/>
    <n v="31"/>
    <d v="1995-02-16T00:00:00"/>
    <s v="Braavos"/>
    <x v="1"/>
    <n v="18200"/>
    <n v="78500"/>
    <n v="9"/>
    <s v="Baixo"/>
    <s v="N"/>
    <n v="73000"/>
    <s v="Inativo"/>
    <x v="1"/>
    <n v="0"/>
  </r>
  <r>
    <s v="Ativo"/>
    <s v="Aegon Bracken"/>
    <s v="000.000.244-00"/>
    <n v="69"/>
    <d v="1956-09-27T00:00:00"/>
    <s v="Correrrio"/>
    <x v="0"/>
    <n v="8100"/>
    <n v="27500"/>
    <n v="42"/>
    <s v="Alto"/>
    <s v="N"/>
    <n v="72500"/>
    <s v="Aprovado"/>
    <x v="0"/>
    <n v="5800"/>
  </r>
  <r>
    <s v="Ativo"/>
    <s v="Catelyn Umber"/>
    <s v="000.000.099-00"/>
    <n v="64"/>
    <d v="1962-07-01T00:00:00"/>
    <s v="Harrenhal"/>
    <x v="0"/>
    <n v="2900"/>
    <n v="76000"/>
    <n v="32"/>
    <s v="Alto"/>
    <s v="N"/>
    <n v="72500"/>
    <s v="Aprovado"/>
    <x v="0"/>
    <n v="5800"/>
  </r>
  <r>
    <s v="Ativo"/>
    <s v="Varys Bracken"/>
    <s v="000.000.215-00"/>
    <n v="28"/>
    <d v="1998-04-02T00:00:00"/>
    <s v="Porto Real"/>
    <x v="2"/>
    <n v="2000"/>
    <n v="51000"/>
    <n v="12"/>
    <s v="Médio"/>
    <s v="N"/>
    <n v="72500"/>
    <s v="Aprovado"/>
    <x v="0"/>
    <n v="5800"/>
  </r>
  <r>
    <s v="Ativo"/>
    <s v="Beric Tyrell"/>
    <s v="000.000.242-00"/>
    <n v="66"/>
    <d v="1960-08-23T00:00:00"/>
    <s v="Vilavelha"/>
    <x v="7"/>
    <n v="11800"/>
    <n v="2000"/>
    <n v="23"/>
    <s v="Médio"/>
    <s v="S"/>
    <n v="72500"/>
    <s v="Aprovado"/>
    <x v="0"/>
    <n v="5800"/>
  </r>
  <r>
    <s v="Ativo"/>
    <s v="Stannis Westerling"/>
    <s v="000.000.071-00"/>
    <n v="31"/>
    <d v="1995-03-11T00:00:00"/>
    <s v="Lannisporto"/>
    <x v="3"/>
    <n v="9000"/>
    <n v="66000"/>
    <n v="24"/>
    <s v="Médio"/>
    <s v="N"/>
    <n v="72000"/>
    <s v="Aprovado"/>
    <x v="0"/>
    <n v="5760"/>
  </r>
  <r>
    <s v="Ativo"/>
    <s v="Bran Florent"/>
    <s v="000.000.218-00"/>
    <n v="62"/>
    <d v="1964-04-21T00:00:00"/>
    <s v="Ninho da Águia"/>
    <x v="10"/>
    <n v="0"/>
    <n v="0"/>
    <n v="38"/>
    <s v="Alto"/>
    <s v="N"/>
    <n v="72000"/>
    <s v="Aprovado"/>
    <x v="0"/>
    <n v="5760"/>
  </r>
  <r>
    <s v="Ativo"/>
    <s v="Loras Lannister"/>
    <s v="000.000.302-00"/>
    <n v="49"/>
    <d v="1976-11-03T00:00:00"/>
    <s v="Pyke"/>
    <x v="5"/>
    <n v="29800"/>
    <n v="54500"/>
    <n v="34"/>
    <s v="Alto"/>
    <s v="N"/>
    <n v="72000"/>
    <s v="Aprovado"/>
    <x v="0"/>
    <n v="5760"/>
  </r>
  <r>
    <s v="Inativo"/>
    <s v="Jaime Bracken"/>
    <s v="000.000.166-00"/>
    <n v="74"/>
    <d v="1952-07-18T00:00:00"/>
    <s v="Jardim de Cima"/>
    <x v="7"/>
    <n v="12400"/>
    <n v="36000"/>
    <n v="3"/>
    <s v="Baixo"/>
    <s v="N"/>
    <n v="71500"/>
    <s v="Inativo"/>
    <x v="1"/>
    <n v="0"/>
  </r>
  <r>
    <s v="Ativo"/>
    <s v="Podrick Umber"/>
    <s v="000.000.053-00"/>
    <n v="56"/>
    <d v="1970-01-10T00:00:00"/>
    <s v="Pyke"/>
    <x v="5"/>
    <n v="14900"/>
    <n v="0"/>
    <n v="13"/>
    <s v="Médio"/>
    <s v="N"/>
    <n v="71000"/>
    <s v="Aprovado"/>
    <x v="0"/>
    <n v="5680"/>
  </r>
  <r>
    <s v="Ativo"/>
    <s v="Ramsay Tarly"/>
    <s v="000.000.098-00"/>
    <n v="35"/>
    <d v="1991-07-21T00:00:00"/>
    <s v="Pyke"/>
    <x v="5"/>
    <n v="2000"/>
    <n v="5500"/>
    <n v="34"/>
    <s v="Alto"/>
    <s v="N"/>
    <n v="71000"/>
    <s v="Aprovado"/>
    <x v="0"/>
    <n v="5680"/>
  </r>
  <r>
    <s v="Ativo"/>
    <s v="Shae Seaworth"/>
    <s v="000.000.030-00"/>
    <n v="33"/>
    <d v="1993-02-27T00:00:00"/>
    <s v="Braavos"/>
    <x v="1"/>
    <n v="3400"/>
    <n v="0"/>
    <n v="13"/>
    <s v="Médio"/>
    <s v="N"/>
    <n v="70000"/>
    <s v="Aprovado"/>
    <x v="0"/>
    <n v="5600"/>
  </r>
  <r>
    <s v="Ativo"/>
    <s v="Daenerys Snow"/>
    <s v="000.000.142-00"/>
    <n v="48"/>
    <d v="1978-07-10T00:00:00"/>
    <s v="Dorne"/>
    <x v="6"/>
    <n v="15800"/>
    <n v="0"/>
    <n v="12"/>
    <s v="Médio"/>
    <s v="N"/>
    <n v="69500"/>
    <s v="Aprovado"/>
    <x v="0"/>
    <n v="5560"/>
  </r>
  <r>
    <s v="Ativo"/>
    <s v="Cersei Clegane"/>
    <s v="000.000.323-00"/>
    <n v="24"/>
    <d v="2002-01-03T00:00:00"/>
    <s v="Dorne"/>
    <x v="6"/>
    <n v="25200"/>
    <n v="0"/>
    <n v="10"/>
    <s v="Baixo"/>
    <s v="N"/>
    <n v="69500"/>
    <s v="Aprovado"/>
    <x v="0"/>
    <n v="5560"/>
  </r>
  <r>
    <s v="Ativo"/>
    <s v="Ellaria Seaworth"/>
    <s v="000.000.125-00"/>
    <n v="23"/>
    <d v="2003-01-06T00:00:00"/>
    <s v="Correrrio"/>
    <x v="0"/>
    <n v="0"/>
    <n v="69000"/>
    <n v="20"/>
    <s v="Médio"/>
    <s v="N"/>
    <n v="69000"/>
    <s v="Aprovado"/>
    <x v="0"/>
    <n v="5520"/>
  </r>
  <r>
    <s v="Ativo"/>
    <s v="Rhaegar Payne"/>
    <s v="000.000.253-00"/>
    <n v="60"/>
    <d v="1966-06-14T00:00:00"/>
    <s v="Monte Chifre"/>
    <x v="7"/>
    <n v="17300"/>
    <n v="15000"/>
    <n v="17"/>
    <s v="Médio"/>
    <s v="N"/>
    <n v="69000"/>
    <s v="Aprovado"/>
    <x v="0"/>
    <n v="5520"/>
  </r>
  <r>
    <s v="Ativo"/>
    <s v="Gilly Marbrand"/>
    <s v="000.000.156-00"/>
    <n v="44"/>
    <d v="1981-09-14T00:00:00"/>
    <s v="Pedra do Dragão"/>
    <x v="2"/>
    <n v="11300"/>
    <n v="55000"/>
    <n v="38"/>
    <s v="Alto"/>
    <s v="N"/>
    <n v="68500"/>
    <s v="Aprovado"/>
    <x v="0"/>
    <n v="5480"/>
  </r>
  <r>
    <s v="Ativo"/>
    <s v="Thoros Crakehall"/>
    <s v="000.000.193-00"/>
    <n v="74"/>
    <d v="1952-05-17T00:00:00"/>
    <s v="Porto Real"/>
    <x v="2"/>
    <n v="20700"/>
    <n v="17500"/>
    <n v="35"/>
    <s v="Alto"/>
    <s v="N"/>
    <n v="68500"/>
    <s v="Negado"/>
    <x v="2"/>
    <n v="0"/>
  </r>
  <r>
    <s v="Ativo"/>
    <s v="Daario Tarly"/>
    <s v="000.000.046-00"/>
    <n v="32"/>
    <d v="1994-06-23T00:00:00"/>
    <s v="Dorne"/>
    <x v="6"/>
    <n v="9800"/>
    <n v="0"/>
    <n v="23"/>
    <s v="Médio"/>
    <s v="N"/>
    <n v="68000"/>
    <s v="Aprovado"/>
    <x v="0"/>
    <n v="5440"/>
  </r>
  <r>
    <s v="Inativo"/>
    <s v="Jeor Marbrand"/>
    <s v="000.000.073-00"/>
    <n v="63"/>
    <d v="1962-10-05T00:00:00"/>
    <s v="Braavos"/>
    <x v="1"/>
    <n v="29000"/>
    <n v="36500"/>
    <n v="38"/>
    <s v="Alto"/>
    <s v="N"/>
    <n v="68000"/>
    <s v="Inativo"/>
    <x v="1"/>
    <n v="0"/>
  </r>
  <r>
    <s v="Ativo"/>
    <s v="Bronn Dondarrion"/>
    <s v="000.000.036-00"/>
    <n v="49"/>
    <d v="1977-01-11T00:00:00"/>
    <s v="Jardim de Cima"/>
    <x v="7"/>
    <n v="20300"/>
    <n v="12000"/>
    <n v="27"/>
    <s v="Alto"/>
    <s v="S"/>
    <n v="67500"/>
    <s v="Negado"/>
    <x v="0"/>
    <n v="0"/>
  </r>
  <r>
    <s v="Ativo"/>
    <s v="Ramsay Dayne"/>
    <s v="000.000.224-00"/>
    <n v="55"/>
    <d v="1971-06-19T00:00:00"/>
    <s v="Ponta Tempestade"/>
    <x v="4"/>
    <n v="9600"/>
    <n v="43000"/>
    <n v="36"/>
    <s v="Alto"/>
    <s v="N"/>
    <n v="67500"/>
    <s v="Aprovado"/>
    <x v="0"/>
    <n v="5400"/>
  </r>
  <r>
    <s v="Ativo"/>
    <s v="Rickon Crakehall"/>
    <s v="000.000.066-00"/>
    <n v="24"/>
    <d v="2002-06-28T00:00:00"/>
    <s v="Atalaia da Água Cinzenta"/>
    <x v="8"/>
    <n v="6100"/>
    <n v="0"/>
    <n v="15"/>
    <s v="Médio"/>
    <s v="N"/>
    <n v="67000"/>
    <s v="Aprovado"/>
    <x v="0"/>
    <n v="5360"/>
  </r>
  <r>
    <s v="Ativo"/>
    <s v="Ellaria Cerwyn"/>
    <s v="000.000.019-00"/>
    <n v="51"/>
    <d v="1974-12-15T00:00:00"/>
    <s v="Dorne"/>
    <x v="6"/>
    <n v="11600"/>
    <n v="41000"/>
    <n v="7"/>
    <s v="Baixo"/>
    <s v="N"/>
    <n v="67000"/>
    <s v="Aprovado"/>
    <x v="0"/>
    <n v="5360"/>
  </r>
  <r>
    <s v="Inativo"/>
    <s v="Eddard Crakehall"/>
    <s v="000.000.318-00"/>
    <n v="43"/>
    <d v="1983-03-16T00:00:00"/>
    <s v="Castelo Negro"/>
    <x v="9"/>
    <n v="7100"/>
    <n v="5500"/>
    <n v="23"/>
    <s v="Médio"/>
    <s v="N"/>
    <n v="67000"/>
    <s v="Inativo"/>
    <x v="1"/>
    <n v="0"/>
  </r>
  <r>
    <s v="Ativo"/>
    <s v="Bronn Bolton"/>
    <s v="000.000.143-00"/>
    <n v="26"/>
    <d v="2000-04-03T00:00:00"/>
    <s v="Harrenhal"/>
    <x v="0"/>
    <n v="26800"/>
    <n v="42500"/>
    <n v="29"/>
    <s v="Alto"/>
    <s v="S"/>
    <n v="66000"/>
    <s v="Negado"/>
    <x v="0"/>
    <n v="0"/>
  </r>
  <r>
    <s v="Ativo"/>
    <s v="Jon Marbrand"/>
    <s v="000.000.359-00"/>
    <n v="29"/>
    <d v="1997-06-19T00:00:00"/>
    <s v="Porto Real"/>
    <x v="2"/>
    <n v="10000"/>
    <n v="25500"/>
    <n v="15"/>
    <s v="Médio"/>
    <s v="N"/>
    <n v="66000"/>
    <s v="Aprovado"/>
    <x v="0"/>
    <n v="5280"/>
  </r>
  <r>
    <s v="Inativo"/>
    <s v="Asha Manderly"/>
    <s v="000.000.357-00"/>
    <n v="29"/>
    <d v="1997-06-26T00:00:00"/>
    <s v="Ilha dos Ursos"/>
    <x v="9"/>
    <n v="13800"/>
    <n v="41500"/>
    <n v="34"/>
    <s v="Alto"/>
    <s v="N"/>
    <n v="66000"/>
    <s v="Inativo"/>
    <x v="1"/>
    <n v="0"/>
  </r>
  <r>
    <s v="Inativo"/>
    <s v="Bronn Baratheon"/>
    <s v="000.000.325-00"/>
    <n v="48"/>
    <d v="1977-11-17T00:00:00"/>
    <s v="Pedra do Dragão"/>
    <x v="2"/>
    <n v="6900"/>
    <n v="52500"/>
    <n v="0"/>
    <s v="Baixo"/>
    <s v="S"/>
    <n v="66000"/>
    <s v="Inativo"/>
    <x v="1"/>
    <n v="0"/>
  </r>
  <r>
    <s v="Ativo"/>
    <s v="Asha Baratheon"/>
    <s v="000.000.195-00"/>
    <n v="70"/>
    <d v="1956-04-25T00:00:00"/>
    <s v="Braavos"/>
    <x v="1"/>
    <n v="16300"/>
    <n v="16500"/>
    <n v="25"/>
    <s v="Médio"/>
    <s v="N"/>
    <n v="65500"/>
    <s v="Aprovado"/>
    <x v="0"/>
    <n v="5240"/>
  </r>
  <r>
    <s v="Inativo"/>
    <s v="Loras Payne"/>
    <s v="000.000.027-00"/>
    <n v="30"/>
    <d v="1996-05-15T00:00:00"/>
    <s v="Braavos"/>
    <x v="1"/>
    <n v="26500"/>
    <n v="14500"/>
    <n v="15"/>
    <s v="Médio"/>
    <s v="N"/>
    <n v="65500"/>
    <s v="Inativo"/>
    <x v="1"/>
    <n v="0"/>
  </r>
  <r>
    <s v="Inativo"/>
    <s v="Jorah  Tyrell"/>
    <s v="000.000.229-00"/>
    <n v="48"/>
    <d v="1978-09-04T00:00:00"/>
    <s v="Porto Real"/>
    <x v="2"/>
    <n v="12400"/>
    <n v="0"/>
    <n v="25"/>
    <s v="Médio"/>
    <s v="N"/>
    <n v="65500"/>
    <s v="Inativo"/>
    <x v="1"/>
    <n v="0"/>
  </r>
  <r>
    <s v="Ativo"/>
    <s v="Jojen Florent"/>
    <s v="000.000.321-00"/>
    <n v="32"/>
    <d v="1993-11-26T00:00:00"/>
    <s v="Ninho da Águia"/>
    <x v="10"/>
    <n v="30000"/>
    <n v="0"/>
    <n v="5"/>
    <s v="Baixo"/>
    <s v="N"/>
    <n v="65000"/>
    <s v="Aprovado"/>
    <x v="0"/>
    <n v="5200"/>
  </r>
  <r>
    <s v="Ativo"/>
    <s v="Thoros Crakehall"/>
    <s v="000.000.193-00"/>
    <n v="74"/>
    <d v="1952-05-17T00:00:00"/>
    <s v="Porto Real"/>
    <x v="2"/>
    <n v="20700"/>
    <n v="17500"/>
    <n v="35"/>
    <s v="Alto"/>
    <s v="N"/>
    <n v="65000"/>
    <s v="Negado"/>
    <x v="2"/>
    <n v="0"/>
  </r>
  <r>
    <s v="Ativo"/>
    <s v="Beric Crakehall"/>
    <s v="000.000.067-00"/>
    <n v="55"/>
    <d v="1971-06-20T00:00:00"/>
    <s v="Pyke"/>
    <x v="5"/>
    <n v="22100"/>
    <n v="41500"/>
    <n v="18"/>
    <s v="Médio"/>
    <s v="N"/>
    <n v="65000"/>
    <s v="Aprovado"/>
    <x v="0"/>
    <n v="5200"/>
  </r>
  <r>
    <s v="Inativo"/>
    <s v="Margaery Dondarrion"/>
    <s v="000.000.192-00"/>
    <n v="50"/>
    <d v="1976-03-14T00:00:00"/>
    <s v="Correrrio"/>
    <x v="0"/>
    <n v="16200"/>
    <n v="25000"/>
    <n v="26"/>
    <s v="Alto"/>
    <s v="N"/>
    <n v="65000"/>
    <s v="Inativo"/>
    <x v="1"/>
    <n v="0"/>
  </r>
  <r>
    <s v="Ativo"/>
    <s v="Varys Florent"/>
    <s v="000.000.264-00"/>
    <n v="57"/>
    <d v="1969-02-04T00:00:00"/>
    <s v="Harrenhal"/>
    <x v="0"/>
    <n v="3200"/>
    <n v="0"/>
    <n v="18"/>
    <s v="Médio"/>
    <s v="N"/>
    <n v="64000"/>
    <s v="Aprovado"/>
    <x v="0"/>
    <n v="5120"/>
  </r>
  <r>
    <s v="Ativo"/>
    <s v="Sandor Westerling"/>
    <s v="000.000.337-00"/>
    <n v="44"/>
    <d v="1982-08-04T00:00:00"/>
    <s v="Vilavelha"/>
    <x v="7"/>
    <n v="5500"/>
    <n v="26000"/>
    <n v="30"/>
    <s v="Alto"/>
    <s v="N"/>
    <n v="64000"/>
    <s v="Aprovado"/>
    <x v="0"/>
    <n v="5120"/>
  </r>
  <r>
    <s v="Inativo"/>
    <s v="Yara Payne"/>
    <s v="000.000.250-00"/>
    <n v="22"/>
    <d v="2004-01-15T00:00:00"/>
    <s v="Fosso Cailin"/>
    <x v="9"/>
    <n v="2100"/>
    <n v="79500"/>
    <n v="29"/>
    <s v="Alto"/>
    <s v="S"/>
    <n v="64000"/>
    <s v="Inativo"/>
    <x v="1"/>
    <n v="0"/>
  </r>
  <r>
    <s v="Ativo"/>
    <s v="Samwell Yronwood"/>
    <s v="000.000.124-00"/>
    <n v="29"/>
    <d v="1996-09-15T00:00:00"/>
    <s v="Jardim de Cima"/>
    <x v="7"/>
    <n v="21200"/>
    <n v="75000"/>
    <n v="6"/>
    <s v="Baixo"/>
    <s v="N"/>
    <n v="63500"/>
    <s v="Aprovado"/>
    <x v="0"/>
    <n v="5080"/>
  </r>
  <r>
    <s v="Ativo"/>
    <s v="Margaery Marbrand"/>
    <s v="000.000.146-00"/>
    <n v="22"/>
    <d v="2004-04-02T00:00:00"/>
    <s v="Ponta Tempestade"/>
    <x v="4"/>
    <n v="9200"/>
    <n v="5000"/>
    <n v="42"/>
    <s v="Alto"/>
    <s v="N"/>
    <n v="63500"/>
    <s v="Aprovado"/>
    <x v="0"/>
    <n v="5080"/>
  </r>
  <r>
    <s v="Inativo"/>
    <s v="Yara Targaryen"/>
    <s v="000.000.059-00"/>
    <n v="42"/>
    <d v="1984-05-08T00:00:00"/>
    <s v="Pyke"/>
    <x v="5"/>
    <n v="18200"/>
    <n v="31000"/>
    <n v="19"/>
    <s v="Médio"/>
    <s v="N"/>
    <n v="63500"/>
    <s v="Inativo"/>
    <x v="1"/>
    <n v="0"/>
  </r>
  <r>
    <s v="Ativo"/>
    <s v="Podrick Stark"/>
    <s v="000.000.029-00"/>
    <n v="40"/>
    <d v="1986-02-15T00:00:00"/>
    <s v="Ilha dos Ursos"/>
    <x v="9"/>
    <n v="21300"/>
    <n v="48500"/>
    <n v="6"/>
    <s v="Baixo"/>
    <s v="N"/>
    <n v="62500"/>
    <s v="Aprovado"/>
    <x v="0"/>
    <n v="5000"/>
  </r>
  <r>
    <s v="Inativo"/>
    <s v="Grey Worm Hornwood"/>
    <s v="000.000.322-00"/>
    <n v="26"/>
    <d v="2000-01-15T00:00:00"/>
    <s v="Pedra do Dragão"/>
    <x v="2"/>
    <n v="24000"/>
    <n v="52000"/>
    <n v="30"/>
    <s v="Alto"/>
    <s v="N"/>
    <n v="62500"/>
    <s v="Inativo"/>
    <x v="1"/>
    <n v="0"/>
  </r>
  <r>
    <s v="Ativo"/>
    <s v="Meera Reed"/>
    <s v="000.000.314-00"/>
    <n v="53"/>
    <d v="1972-10-12T00:00:00"/>
    <s v="Fosso Cailin"/>
    <x v="9"/>
    <n v="12200"/>
    <n v="79500"/>
    <n v="45"/>
    <s v="Alto"/>
    <s v="N"/>
    <n v="62000"/>
    <s v="Negado"/>
    <x v="2"/>
    <n v="0"/>
  </r>
  <r>
    <s v="Ativo"/>
    <s v="Cersei Umber"/>
    <s v="000.000.058-00"/>
    <n v="62"/>
    <m/>
    <s v="Jardim de Cima"/>
    <x v="7"/>
    <n v="1900"/>
    <n v="3500"/>
    <n v="19"/>
    <s v="Médio"/>
    <s v="N"/>
    <n v="62000"/>
    <s v="Aprovado"/>
    <x v="0"/>
    <n v="4960"/>
  </r>
  <r>
    <s v="Ativo"/>
    <s v="Rhaegar Hornwood"/>
    <s v="000.000.178-00"/>
    <n v="30"/>
    <d v="1996-02-14T00:00:00"/>
    <s v="Ponta Tempestade"/>
    <x v="4"/>
    <n v="2600"/>
    <n v="62000"/>
    <n v="22"/>
    <s v="Médio"/>
    <s v="N"/>
    <n v="62000"/>
    <s v="Aprovado"/>
    <x v="0"/>
    <n v="4960"/>
  </r>
  <r>
    <s v="Ativo"/>
    <s v="Beric Tyrell"/>
    <s v="000.000.103-00"/>
    <n v="20"/>
    <d v="2006-08-28T00:00:00"/>
    <s v="Fosso Cailin"/>
    <x v="9"/>
    <n v="18200"/>
    <n v="0"/>
    <n v="21"/>
    <s v="Médio"/>
    <s v="N"/>
    <n v="61500"/>
    <s v="Aprovado"/>
    <x v="0"/>
    <n v="4920"/>
  </r>
  <r>
    <s v="Ativo"/>
    <s v="Varys Targaryen"/>
    <s v="000.000.234-00"/>
    <n v="46"/>
    <d v="1979-12-08T00:00:00"/>
    <s v="Meereen"/>
    <x v="1"/>
    <n v="3200"/>
    <n v="0"/>
    <n v="16"/>
    <s v="Médio"/>
    <s v="N"/>
    <n v="61500"/>
    <s v="Aprovado"/>
    <x v="0"/>
    <n v="4920"/>
  </r>
  <r>
    <s v="Ativo"/>
    <s v="Margaery Manderly"/>
    <s v="000.000.222-00"/>
    <n v="63"/>
    <d v="1963-08-08T00:00:00"/>
    <s v="Winterfell"/>
    <x v="9"/>
    <n v="16800"/>
    <n v="0"/>
    <n v="32"/>
    <s v="Alto"/>
    <m/>
    <n v="61500"/>
    <s v="Aprovado"/>
    <x v="0"/>
    <n v="0"/>
  </r>
  <r>
    <s v="Inativo"/>
    <s v="Jeor Mallister"/>
    <s v="000.000.162-00"/>
    <n v="47"/>
    <d v="1979-07-28T00:00:00"/>
    <s v="Correrrio"/>
    <x v="0"/>
    <n v="13300"/>
    <n v="1000"/>
    <n v="24"/>
    <s v="Médio"/>
    <s v="S"/>
    <n v="61500"/>
    <s v="Inativo"/>
    <x v="1"/>
    <n v="0"/>
  </r>
  <r>
    <s v="Ativo"/>
    <s v="Thoros Yronwood"/>
    <s v="000.000.104-00"/>
    <n v="51"/>
    <d v="1975-01-27T00:00:00"/>
    <s v="Dorne"/>
    <x v="6"/>
    <n v="26000"/>
    <n v="47500"/>
    <n v="45"/>
    <s v="Alto"/>
    <s v="N"/>
    <n v="60500"/>
    <s v="Aprovado"/>
    <x v="0"/>
    <n v="4840"/>
  </r>
  <r>
    <s v="Ativo"/>
    <s v="Stannis Greyjoy"/>
    <s v="000.000.236-00"/>
    <n v="69"/>
    <d v="1957-05-03T00:00:00"/>
    <s v="Pedra do Dragão"/>
    <x v="2"/>
    <n v="13800"/>
    <n v="62000"/>
    <n v="31"/>
    <s v="Alto"/>
    <s v="N"/>
    <n v="60500"/>
    <s v="Aprovado"/>
    <x v="0"/>
    <n v="4840"/>
  </r>
  <r>
    <s v="Ativo"/>
    <s v="Rickon Karstark"/>
    <s v="000.000.089-00"/>
    <n v="35"/>
    <d v="1991-08-23T00:00:00"/>
    <s v="Atalaia da Água Cinzenta"/>
    <x v="8"/>
    <n v="24000"/>
    <n v="0"/>
    <n v="3"/>
    <s v="Baixo"/>
    <s v="S"/>
    <n v="60000"/>
    <s v="Aprovado"/>
    <x v="0"/>
    <n v="4800"/>
  </r>
  <r>
    <s v="Ativo"/>
    <s v="Renly Mallister"/>
    <s v="000.000.372-00"/>
    <n v="34"/>
    <d v="1991-10-14T00:00:00"/>
    <s v="Winterfell"/>
    <x v="9"/>
    <n v="28000"/>
    <n v="36500"/>
    <n v="33"/>
    <s v="Alto"/>
    <s v="N"/>
    <n v="60000"/>
    <s v="Aprovado"/>
    <x v="0"/>
    <n v="4800"/>
  </r>
  <r>
    <s v="Ativo"/>
    <s v="Lyanna Florent"/>
    <s v="000.000.063-00"/>
    <n v="68"/>
    <m/>
    <s v="Pedra do Dragão"/>
    <x v="2"/>
    <n v="19900"/>
    <n v="35000"/>
    <n v="25"/>
    <s v="Médio"/>
    <s v="N"/>
    <n v="59500"/>
    <s v="Aprovado"/>
    <x v="0"/>
    <n v="4760"/>
  </r>
  <r>
    <s v="Ativo"/>
    <s v="Renly Bolton"/>
    <s v="000.000.303-00"/>
    <n v="24"/>
    <m/>
    <s v="Castelo Negro"/>
    <x v="9"/>
    <n v="29300"/>
    <n v="32000"/>
    <n v="26"/>
    <s v="Alto"/>
    <s v="S"/>
    <n v="59000"/>
    <s v="Negado"/>
    <x v="0"/>
    <n v="0"/>
  </r>
  <r>
    <s v="Ativo"/>
    <s v="Jorah Seaworth"/>
    <s v="000.000.207-00"/>
    <n v="66"/>
    <d v="1960-08-23T00:00:00"/>
    <s v="Fosso Cailin"/>
    <x v="9"/>
    <n v="28800"/>
    <n v="16000"/>
    <n v="44"/>
    <s v="Alto"/>
    <s v="S"/>
    <n v="59000"/>
    <s v="Negado"/>
    <x v="0"/>
    <n v="0"/>
  </r>
  <r>
    <s v="Ativo"/>
    <s v="Varys Lannister"/>
    <s v="000.000.010-00"/>
    <n v="60"/>
    <d v="1965-11-08T00:00:00"/>
    <s v="Ninho da Águia"/>
    <x v="10"/>
    <n v="22600"/>
    <n v="80000"/>
    <n v="9"/>
    <s v="Baixo"/>
    <s v="N"/>
    <n v="58500"/>
    <s v="Aprovado"/>
    <x v="0"/>
    <n v="4680"/>
  </r>
  <r>
    <s v="Ativo"/>
    <s v="Davos Royce"/>
    <s v="000.000.033-00"/>
    <n v="31"/>
    <d v="1995-08-03T00:00:00"/>
    <s v="Pyke"/>
    <x v="5"/>
    <n v="20800"/>
    <n v="17500"/>
    <n v="35"/>
    <s v="Alto"/>
    <s v="N"/>
    <n v="58000"/>
    <s v="Negado"/>
    <x v="2"/>
    <n v="0"/>
  </r>
  <r>
    <s v="Ativo"/>
    <s v="Robb Stark"/>
    <s v="000.000.228-00"/>
    <n v="65"/>
    <d v="1961-08-12T00:00:00"/>
    <s v="Ilha dos Ursos"/>
    <x v="9"/>
    <n v="29000"/>
    <n v="28500"/>
    <n v="28"/>
    <s v="Alto"/>
    <s v="N"/>
    <n v="57500"/>
    <s v="Aprovado"/>
    <x v="0"/>
    <n v="4600"/>
  </r>
  <r>
    <s v="Ativo"/>
    <s v="Meera Reed"/>
    <s v="000.000.314-00"/>
    <n v="53"/>
    <d v="1972-10-12T00:00:00"/>
    <s v="Fosso Cailin"/>
    <x v="9"/>
    <n v="12200"/>
    <n v="79500"/>
    <n v="45"/>
    <s v="Alto"/>
    <s v="N"/>
    <n v="57000"/>
    <s v="Negado"/>
    <x v="2"/>
    <n v="0"/>
  </r>
  <r>
    <s v="Ativo"/>
    <s v="Yara Baelish"/>
    <s v="000.000.344-00"/>
    <n v="64"/>
    <d v="1962-07-09T00:00:00"/>
    <s v="Solar do Entardecer"/>
    <x v="4"/>
    <n v="24300"/>
    <n v="16500"/>
    <n v="24"/>
    <s v="Médio"/>
    <s v="S"/>
    <n v="57000"/>
    <s v="Aprovado"/>
    <x v="0"/>
    <n v="4560"/>
  </r>
  <r>
    <s v="Ativo"/>
    <s v="Brienne Royce"/>
    <s v="000.000.108-00"/>
    <n v="39"/>
    <d v="1986-12-20T00:00:00"/>
    <s v="Vilavelha"/>
    <x v="7"/>
    <n v="24700"/>
    <n v="23500"/>
    <n v="43"/>
    <s v="Alto"/>
    <s v="N"/>
    <n v="57000"/>
    <s v="Aprovado"/>
    <x v="0"/>
    <n v="4560"/>
  </r>
  <r>
    <s v="Ativo"/>
    <s v="Lyanna Seaworth"/>
    <s v="000.000.041-00"/>
    <n v="69"/>
    <m/>
    <s v="Braavos"/>
    <x v="1"/>
    <n v="4500"/>
    <n v="0"/>
    <n v="32"/>
    <s v="Alto"/>
    <s v="S"/>
    <n v="56500"/>
    <s v="Negado"/>
    <x v="0"/>
    <n v="0"/>
  </r>
  <r>
    <s v="Ativo"/>
    <s v="Rickon Karstark"/>
    <s v="000.000.360-00"/>
    <n v="26"/>
    <d v="2000-02-17T00:00:00"/>
    <s v="Castelo Negro"/>
    <x v="9"/>
    <n v="4800"/>
    <n v="48500"/>
    <n v="6"/>
    <s v="Baixo"/>
    <s v="S"/>
    <n v="56500"/>
    <s v="Aprovado"/>
    <x v="0"/>
    <n v="4520"/>
  </r>
  <r>
    <s v="Inativo"/>
    <s v="Stannis  Cerwyn"/>
    <s v="000.000.034-00"/>
    <n v="35"/>
    <d v="1990-11-27T00:00:00"/>
    <s v="Winterfell"/>
    <x v="9"/>
    <n v="17600"/>
    <n v="44000"/>
    <n v="22"/>
    <s v="Médio"/>
    <s v="N"/>
    <n v="56500"/>
    <s v="Inativo"/>
    <x v="1"/>
    <n v="0"/>
  </r>
  <r>
    <s v="Ativo"/>
    <s v="Aegon Frey"/>
    <s v="000.000.338-00"/>
    <n v="56"/>
    <d v="1969-11-18T00:00:00"/>
    <s v="Dorne"/>
    <x v="6"/>
    <n v="11100"/>
    <n v="63000"/>
    <n v="0"/>
    <s v="Baixo"/>
    <s v="N"/>
    <n v="56000"/>
    <s v="Aprovado"/>
    <x v="0"/>
    <n v="4480"/>
  </r>
  <r>
    <s v="Ativo"/>
    <s v="Ramsay Dondarrion"/>
    <s v="000.000.054-00"/>
    <n v="55"/>
    <d v="1970-11-02T00:00:00"/>
    <s v="Dorne"/>
    <x v="6"/>
    <n v="29100"/>
    <n v="5500"/>
    <n v="11"/>
    <s v="Médio"/>
    <s v="N"/>
    <n v="56000"/>
    <s v="Aprovado"/>
    <x v="0"/>
    <n v="4480"/>
  </r>
  <r>
    <s v="Ativo"/>
    <s v="Grey Worm Dondarrion"/>
    <s v="000.000.233-00"/>
    <n v="38"/>
    <d v="1987-10-16T00:00:00"/>
    <s v="Meereen"/>
    <x v="1"/>
    <n v="9700"/>
    <n v="25000"/>
    <n v="0"/>
    <s v="Baixo"/>
    <s v="N"/>
    <n v="55500"/>
    <s v="Aprovado"/>
    <x v="0"/>
    <n v="4440"/>
  </r>
  <r>
    <s v="Inativo"/>
    <s v="Tyrion Clegane"/>
    <s v="000.000.281-00"/>
    <n v="51"/>
    <d v="1975-07-15T00:00:00"/>
    <s v="Monte Chifre"/>
    <x v="7"/>
    <n v="11400"/>
    <n v="0"/>
    <n v="17"/>
    <s v="Médio"/>
    <s v="N"/>
    <n v="55500"/>
    <s v="Inativo"/>
    <x v="1"/>
    <n v="0"/>
  </r>
  <r>
    <s v="Inativo"/>
    <s v="Beric Manderly"/>
    <s v="000.000.243-00"/>
    <n v="25"/>
    <d v="2001-08-28T00:00:00"/>
    <s v="Lannisporto"/>
    <x v="3"/>
    <n v="24500"/>
    <n v="0"/>
    <n v="0"/>
    <s v="Baixo"/>
    <s v="N"/>
    <n v="55000"/>
    <s v="Inativo"/>
    <x v="1"/>
    <n v="0"/>
  </r>
  <r>
    <s v="Ativo"/>
    <s v="Shae Mormont"/>
    <s v="000.000.307-00"/>
    <n v="64"/>
    <d v="1962-09-11T00:00:00"/>
    <s v="Dorne"/>
    <x v="6"/>
    <n v="5500"/>
    <n v="41000"/>
    <n v="2"/>
    <s v="Baixo"/>
    <s v="N"/>
    <n v="54500"/>
    <s v="Aprovado"/>
    <x v="0"/>
    <n v="4360"/>
  </r>
  <r>
    <s v="Ativo"/>
    <s v="Renly Mormont"/>
    <s v="000.000.376-00"/>
    <n v="57"/>
    <d v="1968-12-27T00:00:00"/>
    <s v="Vilavelha"/>
    <x v="7"/>
    <n v="20700"/>
    <n v="64500"/>
    <n v="19"/>
    <s v="Médio"/>
    <s v="N"/>
    <n v="54500"/>
    <s v="Aprovado"/>
    <x v="0"/>
    <n v="4360"/>
  </r>
  <r>
    <s v="Ativo"/>
    <s v="Sandor Clegane"/>
    <s v="000.000.164-00"/>
    <n v="62"/>
    <d v="1963-11-02T00:00:00"/>
    <s v="Winterfell"/>
    <x v="9"/>
    <n v="10500"/>
    <n v="0"/>
    <n v="4"/>
    <s v="Baixo"/>
    <s v="S"/>
    <n v="54500"/>
    <s v="Aprovado"/>
    <x v="0"/>
    <n v="4360"/>
  </r>
  <r>
    <s v="Inativo"/>
    <s v="Roose Cerwyn"/>
    <s v="000.000.349-00"/>
    <n v="32"/>
    <d v="1994-02-22T00:00:00"/>
    <s v="Castelo Negro"/>
    <x v="9"/>
    <n v="20500"/>
    <n v="0"/>
    <n v="41"/>
    <s v="Alto"/>
    <s v="N"/>
    <n v="54500"/>
    <s v="Inativo"/>
    <x v="1"/>
    <n v="0"/>
  </r>
  <r>
    <s v="Ativo"/>
    <s v="Loras Manderly"/>
    <s v="000.000.278-00"/>
    <n v="38"/>
    <d v="1988-01-10T00:00:00"/>
    <s v="Monte Chifre"/>
    <x v="7"/>
    <n v="2000"/>
    <n v="60000"/>
    <n v="18"/>
    <s v="Médio"/>
    <s v="N"/>
    <n v="54000"/>
    <s v="Aprovado"/>
    <x v="0"/>
    <n v="4320"/>
  </r>
  <r>
    <s v="Inativo"/>
    <s v="Daario Cerwyn"/>
    <s v="000.000.175-00"/>
    <n v="60"/>
    <d v="1965-12-15T00:00:00"/>
    <s v="Lannisporto"/>
    <x v="3"/>
    <n v="10100"/>
    <n v="55000"/>
    <n v="26"/>
    <s v="Alto"/>
    <s v="N"/>
    <n v="54000"/>
    <s v="Inativo"/>
    <x v="1"/>
    <n v="0"/>
  </r>
  <r>
    <s v="Ativo"/>
    <s v="Yara  Marbrand"/>
    <s v="000.000.266-00"/>
    <n v="70"/>
    <d v="1956-03-19T00:00:00"/>
    <s v="Atalaia da Água Cinzenta"/>
    <x v="8"/>
    <n v="9100"/>
    <n v="40500"/>
    <n v="35"/>
    <s v="Alto"/>
    <s v="N"/>
    <n v="53000"/>
    <s v="Aprovado"/>
    <x v="0"/>
    <n v="4240"/>
  </r>
  <r>
    <s v="Ativo"/>
    <s v="Ellaria Redwyne"/>
    <s v="000.000.093-00"/>
    <n v="56"/>
    <d v="1969-12-14T00:00:00"/>
    <s v="Dorne"/>
    <x v="6"/>
    <n v="22600"/>
    <n v="63000"/>
    <n v="33"/>
    <s v="Alto"/>
    <s v="N"/>
    <n v="53000"/>
    <s v="Aprovado"/>
    <x v="0"/>
    <n v="4240"/>
  </r>
  <r>
    <s v="Ativo"/>
    <s v="Petyr Yronwood"/>
    <s v="000.000.095-00"/>
    <n v="61"/>
    <d v="1965-08-10T00:00:00"/>
    <s v="Ilha dos Ursos"/>
    <x v="9"/>
    <n v="7000"/>
    <n v="1500"/>
    <n v="32"/>
    <s v="Alto"/>
    <s v="S"/>
    <n v="53000"/>
    <s v="Negado"/>
    <x v="0"/>
    <n v="0"/>
  </r>
  <r>
    <s v="Ativo"/>
    <s v="Jon Baelish"/>
    <s v="000.000.214-00"/>
    <n v="67"/>
    <d v="1959-05-19T00:00:00"/>
    <s v="Meereen"/>
    <x v="1"/>
    <n v="10700"/>
    <n v="9000"/>
    <n v="37"/>
    <s v="Alto"/>
    <s v="N"/>
    <n v="53000"/>
    <s v="Aprovado"/>
    <x v="0"/>
    <n v="4240"/>
  </r>
  <r>
    <s v="Ativo"/>
    <s v="Jeor Florent"/>
    <s v="000.000.249-00"/>
    <n v="27"/>
    <d v="1999-06-08T00:00:00"/>
    <s v="Ponta Tempestade"/>
    <x v="4"/>
    <n v="28800"/>
    <n v="78500"/>
    <n v="2"/>
    <s v="Baixo"/>
    <s v="N"/>
    <n v="53000"/>
    <s v="Aprovado"/>
    <x v="0"/>
    <n v="4240"/>
  </r>
  <r>
    <s v="Ativo"/>
    <s v="Olenna Reed"/>
    <s v="000.000.248-00"/>
    <n v="40"/>
    <d v="1985-12-27T00:00:00"/>
    <s v="Braavos"/>
    <x v="1"/>
    <n v="17400"/>
    <n v="53000"/>
    <n v="20"/>
    <s v="Médio"/>
    <s v="S"/>
    <n v="52500"/>
    <s v="Aprovado"/>
    <x v="2"/>
    <n v="0"/>
  </r>
  <r>
    <s v="Ativo"/>
    <s v="Bran Bolton"/>
    <s v="000.000.003-00"/>
    <n v="23"/>
    <d v="2003-06-13T00:00:00"/>
    <s v="Porto Real"/>
    <x v="2"/>
    <n v="17900"/>
    <n v="28000"/>
    <n v="41"/>
    <s v="Alto"/>
    <s v="N"/>
    <n v="52500"/>
    <s v="Aprovado"/>
    <x v="0"/>
    <n v="4200"/>
  </r>
  <r>
    <s v="Ativo"/>
    <s v="Rickon Frey"/>
    <s v="000.000.013-00"/>
    <n v="60"/>
    <d v="1966-04-05T00:00:00"/>
    <s v="Solar do Entardecer"/>
    <x v="4"/>
    <n v="5500"/>
    <n v="0"/>
    <n v="26"/>
    <s v="Alto"/>
    <s v="N"/>
    <n v="52500"/>
    <s v="Aprovado"/>
    <x v="0"/>
    <n v="4200"/>
  </r>
  <r>
    <s v="Inativo"/>
    <s v="Ellaria Tarly"/>
    <s v="000.000.026-00"/>
    <n v="67"/>
    <d v="1958-11-23T00:00:00"/>
    <s v="Braavos"/>
    <x v="1"/>
    <n v="3200"/>
    <n v="6500"/>
    <n v="20"/>
    <s v="Médio"/>
    <s v="N"/>
    <n v="52500"/>
    <s v="Inativo"/>
    <x v="1"/>
    <n v="0"/>
  </r>
  <r>
    <s v="Ativo"/>
    <s v="Thoros  Frey"/>
    <s v="000.000.113-00"/>
    <n v="55"/>
    <d v="1970-10-03T00:00:00"/>
    <s v="Jardim de Cima"/>
    <x v="7"/>
    <n v="17400"/>
    <n v="75500"/>
    <n v="9"/>
    <s v="Baixo"/>
    <s v="N"/>
    <n v="52000"/>
    <s v="Aprovado"/>
    <x v="0"/>
    <n v="4160"/>
  </r>
  <r>
    <s v="Ativo"/>
    <s v="Theon Frey"/>
    <s v="000.000.123-00"/>
    <n v="19"/>
    <d v="2007-05-07T00:00:00"/>
    <s v="Monte Chifre"/>
    <x v="7"/>
    <n v="7200"/>
    <n v="16000"/>
    <n v="5"/>
    <s v="Baixo"/>
    <s v="N"/>
    <n v="52000"/>
    <s v="Aprovado"/>
    <x v="0"/>
    <n v="4160"/>
  </r>
  <r>
    <s v="Ativo"/>
    <s v="Asha Hornwood"/>
    <s v="000.000.363-00"/>
    <n v="33"/>
    <d v="1993-06-24T00:00:00"/>
    <s v="Pedra do Dragão"/>
    <x v="2"/>
    <n v="21500"/>
    <n v="0"/>
    <n v="22"/>
    <s v="Médio"/>
    <s v="N"/>
    <n v="51500"/>
    <s v="Aprovado"/>
    <x v="0"/>
    <n v="4120"/>
  </r>
  <r>
    <s v="Ativo"/>
    <s v="Ellaria Mormont"/>
    <s v="000.000.157-00"/>
    <n v="22"/>
    <d v="2003-10-10T00:00:00"/>
    <s v="Ponta Tempestade"/>
    <x v="4"/>
    <n v="2300"/>
    <n v="0"/>
    <n v="29"/>
    <s v="Alto"/>
    <s v="S"/>
    <n v="51500"/>
    <s v="Negado"/>
    <x v="0"/>
    <n v="0"/>
  </r>
  <r>
    <s v="Inativo"/>
    <s v="Renly Redwyne"/>
    <s v="000.000.045-00"/>
    <n v="66"/>
    <d v="1960-02-08T00:00:00"/>
    <s v="Porto Real"/>
    <x v="2"/>
    <n v="3400"/>
    <n v="78000"/>
    <n v="9"/>
    <s v="Baixo"/>
    <s v="N"/>
    <n v="51500"/>
    <s v="Inativo"/>
    <x v="1"/>
    <n v="0"/>
  </r>
  <r>
    <s v="Ativo"/>
    <s v="Melisandre Cerwyn"/>
    <s v="000.000.120-00"/>
    <n v="29"/>
    <d v="1996-11-23T00:00:00"/>
    <s v="Atalaia da Água Cinzenta"/>
    <x v="8"/>
    <n v="6400"/>
    <n v="19500"/>
    <n v="30"/>
    <s v="Alto"/>
    <s v="N"/>
    <n v="51000"/>
    <s v="Aprovado"/>
    <x v="0"/>
    <n v="4080"/>
  </r>
  <r>
    <s v="Ativo"/>
    <s v="Jorah Florent"/>
    <s v="000.000.204-00"/>
    <n v="49"/>
    <d v="1977-01-22T00:00:00"/>
    <s v="Porto Real"/>
    <x v="2"/>
    <n v="28400"/>
    <n v="38500"/>
    <n v="26"/>
    <s v="Alto"/>
    <s v="N"/>
    <n v="51000"/>
    <s v="Aprovado"/>
    <x v="0"/>
    <n v="4080"/>
  </r>
  <r>
    <s v="Ativo"/>
    <s v="Rickon Karstark"/>
    <s v="000.000.088-00"/>
    <n v="74"/>
    <d v="1952-05-07T00:00:00"/>
    <s v="Castelo Negro"/>
    <x v="9"/>
    <n v="7300"/>
    <n v="1000"/>
    <n v="3"/>
    <s v="Baixo"/>
    <s v="N"/>
    <n v="50500"/>
    <s v="Aprovado"/>
    <x v="0"/>
    <n v="4040"/>
  </r>
  <r>
    <s v="Ativo"/>
    <s v="Rhaegar Mormont"/>
    <s v="000.000.109-00"/>
    <n v="64"/>
    <d v="1962-07-18T00:00:00"/>
    <s v="Fosso Cailin"/>
    <x v="9"/>
    <n v="12700"/>
    <n v="0"/>
    <n v="21"/>
    <s v="Médio"/>
    <s v="N"/>
    <n v="50500"/>
    <s v="Aprovado"/>
    <x v="0"/>
    <n v="4040"/>
  </r>
  <r>
    <s v="Inativo"/>
    <s v="Yara Tallhart"/>
    <s v="000.000.064-00"/>
    <n v="57"/>
    <d v="1969-01-03T00:00:00"/>
    <s v="Correrrio"/>
    <x v="0"/>
    <n v="3400"/>
    <n v="23500"/>
    <n v="20"/>
    <s v="Médio"/>
    <s v="N"/>
    <n v="50500"/>
    <s v="Inativo"/>
    <x v="1"/>
    <n v="0"/>
  </r>
  <r>
    <s v="Inativo"/>
    <s v="Theon Tarth"/>
    <s v="000.000.289-00"/>
    <n v="74"/>
    <d v="1952-03-20T00:00:00"/>
    <s v="Lannisporto"/>
    <x v="3"/>
    <n v="7100"/>
    <n v="61500"/>
    <n v="1"/>
    <s v="Baixo"/>
    <s v="N"/>
    <n v="50500"/>
    <s v="Inativo"/>
    <x v="1"/>
    <n v="0"/>
  </r>
  <r>
    <s v="Ativo"/>
    <s v="Thoros Greyjoy"/>
    <s v="000.000.374-00"/>
    <n v="67"/>
    <d v="1959-01-23T00:00:00"/>
    <s v="Atalaia da Água Cinzenta"/>
    <x v="8"/>
    <n v="6400"/>
    <n v="1000"/>
    <n v="27"/>
    <s v="Alto"/>
    <s v="N"/>
    <n v="50000"/>
    <s v="Aprovado"/>
    <x v="0"/>
    <n v="4000"/>
  </r>
  <r>
    <s v="Ativo"/>
    <s v="Arya Redwyne"/>
    <s v="000.000.333-00"/>
    <n v="21"/>
    <d v="2004-12-02T00:00:00"/>
    <s v="Correrrio"/>
    <x v="0"/>
    <n v="3800"/>
    <n v="0"/>
    <n v="25"/>
    <s v="Médio"/>
    <s v="N"/>
    <n v="50000"/>
    <s v="Aprovado"/>
    <x v="0"/>
    <n v="4000"/>
  </r>
  <r>
    <s v="Ativo"/>
    <s v="Rickon Lannister"/>
    <s v="000.000.197-00"/>
    <n v="53"/>
    <d v="1973-08-22T00:00:00"/>
    <s v="Fosso Cailin"/>
    <x v="9"/>
    <n v="27100"/>
    <n v="68000"/>
    <n v="40"/>
    <s v="Alto"/>
    <s v="N"/>
    <n v="49500"/>
    <s v="Aprovado"/>
    <x v="0"/>
    <n v="3960"/>
  </r>
  <r>
    <s v="Ativo"/>
    <s v="Sandor Dondarrion"/>
    <s v="000.000.082-00"/>
    <n v="20"/>
    <d v="2006-06-26T00:00:00"/>
    <s v="Ilha dos Ursos"/>
    <x v="9"/>
    <n v="24900"/>
    <n v="0"/>
    <n v="14"/>
    <s v="Médio"/>
    <s v="S"/>
    <n v="49500"/>
    <s v="Aprovado"/>
    <x v="0"/>
    <n v="3960"/>
  </r>
  <r>
    <s v="Inativo"/>
    <s v="Melisandre Crakehall"/>
    <s v="000.000.260-00"/>
    <n v="31"/>
    <d v="1995-07-05T00:00:00"/>
    <s v="Pedra do Dragão"/>
    <x v="2"/>
    <n v="16400"/>
    <n v="45500"/>
    <n v="6"/>
    <s v="Baixo"/>
    <s v="N"/>
    <n v="49500"/>
    <s v="Inativo"/>
    <x v="1"/>
    <n v="0"/>
  </r>
  <r>
    <s v="Ativo"/>
    <s v="Robert Tarth"/>
    <s v="000.000.001-00"/>
    <n v="27"/>
    <d v="1999-05-08T00:00:00"/>
    <s v="Winterfell"/>
    <x v="9"/>
    <n v="29700"/>
    <n v="12000"/>
    <n v="37"/>
    <s v="Alto"/>
    <s v="N"/>
    <n v="49000"/>
    <s v="Aprovado"/>
    <x v="0"/>
    <n v="3920"/>
  </r>
  <r>
    <s v="Inativo"/>
    <s v="Melisandre Baratheon"/>
    <s v="000.000.020-00"/>
    <n v="58"/>
    <d v="1968-08-04T00:00:00"/>
    <s v="Porto Real"/>
    <x v="2"/>
    <n v="4500"/>
    <n v="20000"/>
    <n v="9"/>
    <s v="Baixo"/>
    <s v="S"/>
    <n v="49000"/>
    <s v="Inativo"/>
    <x v="1"/>
    <n v="0"/>
  </r>
  <r>
    <s v="Ativo"/>
    <s v="Bran Dayne"/>
    <s v="000.000.288-00"/>
    <n v="48"/>
    <d v="1977-11-01T00:00:00"/>
    <s v="Pyke"/>
    <x v="5"/>
    <n v="4500"/>
    <n v="0"/>
    <n v="3"/>
    <s v="Baixo"/>
    <s v="N"/>
    <n v="48500"/>
    <s v="Aprovado"/>
    <x v="0"/>
    <n v="3880"/>
  </r>
  <r>
    <m/>
    <s v="Gilly Swyft"/>
    <s v="000.000.261-00"/>
    <n v="35"/>
    <d v="1990-11-11T00:00:00"/>
    <s v="Braavos"/>
    <x v="1"/>
    <n v="29900"/>
    <n v="64500"/>
    <n v="34"/>
    <s v="Alto"/>
    <s v="N"/>
    <n v="48500"/>
    <s v="Negado"/>
    <x v="2"/>
    <n v="0"/>
  </r>
  <r>
    <s v="Ativo"/>
    <s v="Shae  Dayne"/>
    <s v="000.000.312-00"/>
    <n v="25"/>
    <d v="2000-09-23T00:00:00"/>
    <s v="Ninho da Águia"/>
    <x v="10"/>
    <n v="22100"/>
    <n v="30500"/>
    <n v="28"/>
    <s v="Alto"/>
    <s v="N"/>
    <n v="48000"/>
    <s v="Aprovado"/>
    <x v="0"/>
    <n v="3840"/>
  </r>
  <r>
    <s v="Ativo"/>
    <s v="Brienne Dayne"/>
    <s v="000.000.070-00"/>
    <n v="62"/>
    <d v="1963-11-22T00:00:00"/>
    <s v="Pedra do Dragão"/>
    <x v="2"/>
    <n v="11900"/>
    <n v="58500"/>
    <n v="37"/>
    <s v="Alto"/>
    <s v="N"/>
    <n v="48000"/>
    <s v="Aprovado"/>
    <x v="0"/>
    <n v="3840"/>
  </r>
  <r>
    <s v="Ativo"/>
    <s v="Thoros Greyjoy"/>
    <s v="000.000.043-00"/>
    <n v="27"/>
    <d v="1999-06-05T00:00:00"/>
    <s v="Vilavelha"/>
    <x v="7"/>
    <n v="10700"/>
    <n v="60000"/>
    <n v="44"/>
    <s v="Alto"/>
    <s v="N"/>
    <n v="48000"/>
    <s v="Aprovado"/>
    <x v="0"/>
    <n v="3840"/>
  </r>
  <r>
    <s v="Inativo"/>
    <s v="Varys Tallhart"/>
    <m/>
    <n v="61"/>
    <d v="1965-07-09T00:00:00"/>
    <s v="Correrrio"/>
    <x v="0"/>
    <n v="4100"/>
    <n v="78000"/>
    <n v="25"/>
    <s v="Médio"/>
    <s v="N"/>
    <n v="48000"/>
    <s v="Inativo"/>
    <x v="1"/>
    <n v="0"/>
  </r>
  <r>
    <m/>
    <s v="Viserys Hightower"/>
    <s v="000.000.262.00"/>
    <n v="61"/>
    <d v="1965-04-02T00:00:00"/>
    <s v="Monte Chifre"/>
    <x v="7"/>
    <n v="9100"/>
    <n v="49000"/>
    <n v="1"/>
    <s v="Baixo"/>
    <s v="N"/>
    <n v="48000"/>
    <s v="Negado"/>
    <x v="2"/>
    <n v="0"/>
  </r>
  <r>
    <s v="Ativo"/>
    <s v="Asha Tallhart"/>
    <s v="000.000.086-00"/>
    <n v="38"/>
    <d v="1988-04-27T00:00:00"/>
    <s v="Pyke"/>
    <x v="5"/>
    <n v="17600"/>
    <n v="0"/>
    <n v="31"/>
    <s v="Alto"/>
    <s v="S"/>
    <n v="47500"/>
    <s v="Negado"/>
    <x v="0"/>
    <n v="0"/>
  </r>
  <r>
    <s v="Ativo"/>
    <s v="Loras Clegane"/>
    <s v="000.000.287-00"/>
    <n v="58"/>
    <d v="1968-03-14T00:00:00"/>
    <s v="Harrenhal"/>
    <x v="0"/>
    <n v="25400"/>
    <n v="70500"/>
    <n v="11"/>
    <s v="Médio"/>
    <s v="S"/>
    <n v="47000"/>
    <s v="Aprovado"/>
    <x v="2"/>
    <n v="0"/>
  </r>
  <r>
    <s v="Inativo"/>
    <s v="Jeor Marbrand"/>
    <s v="000.000.073-00"/>
    <n v="63"/>
    <d v="1962-10-05T00:00:00"/>
    <s v="Braavos"/>
    <x v="1"/>
    <n v="29000"/>
    <n v="36500"/>
    <n v="38"/>
    <s v="Alto"/>
    <s v="N"/>
    <n v="47000"/>
    <s v="Inativo"/>
    <x v="1"/>
    <n v="0"/>
  </r>
  <r>
    <s v="Inativo"/>
    <s v="Grey Worm Baratheon"/>
    <s v="000.000.221-00"/>
    <n v="29"/>
    <d v="1997-06-17T00:00:00"/>
    <s v="Dorne"/>
    <x v="6"/>
    <n v="15500"/>
    <n v="75000"/>
    <n v="25"/>
    <s v="Médio"/>
    <s v="N"/>
    <n v="47000"/>
    <s v="Inativo"/>
    <x v="1"/>
    <n v="0"/>
  </r>
  <r>
    <s v="Ativo"/>
    <s v="Rhaegar Tallhart"/>
    <s v="000.000.348-00"/>
    <n v="26"/>
    <d v="2000-03-11T00:00:00"/>
    <s v="Ilha dos Ursos"/>
    <x v="9"/>
    <n v="3500"/>
    <n v="50000"/>
    <n v="40"/>
    <s v="Alto"/>
    <s v="N"/>
    <n v="46500"/>
    <s v="Aprovado"/>
    <x v="0"/>
    <n v="3720"/>
  </r>
  <r>
    <s v="Ativo"/>
    <s v="Viserys  Umber"/>
    <s v="000.000.155-00"/>
    <n v="19"/>
    <d v="2007-05-28T00:00:00"/>
    <s v="Jardim de Cima"/>
    <x v="7"/>
    <n v="18000"/>
    <n v="49500"/>
    <n v="25"/>
    <s v="Médio"/>
    <s v="N"/>
    <n v="46500"/>
    <s v="Aprovado"/>
    <x v="0"/>
    <n v="3720"/>
  </r>
  <r>
    <s v="Ativo"/>
    <s v="Cersei Stark"/>
    <s v="000.000.293-00"/>
    <n v="25"/>
    <d v="2001-07-19T00:00:00"/>
    <s v="Ninho da Águia"/>
    <x v="10"/>
    <n v="28800"/>
    <n v="0"/>
    <n v="12"/>
    <s v="Médio"/>
    <s v="N"/>
    <n v="46500"/>
    <s v="Aprovado"/>
    <x v="0"/>
    <n v="3720"/>
  </r>
  <r>
    <s v="Inativo"/>
    <s v="Samwell Glover"/>
    <s v="000.000.160-00"/>
    <n v="73"/>
    <d v="1952-11-01T00:00:00"/>
    <s v="Ponta Tempestade"/>
    <x v="4"/>
    <n v="7100"/>
    <n v="58000"/>
    <n v="22"/>
    <s v="Médio"/>
    <s v="S"/>
    <n v="46500"/>
    <s v="Inativo"/>
    <x v="1"/>
    <n v="0"/>
  </r>
  <r>
    <s v="Ativo"/>
    <s v="Roose Bracken"/>
    <s v="000.000.188-00"/>
    <n v="43"/>
    <d v="1983-02-08T00:00:00"/>
    <s v="Ilha dos Ursos"/>
    <x v="9"/>
    <n v="21700"/>
    <n v="31000"/>
    <n v="27"/>
    <s v="Alto"/>
    <s v="N"/>
    <n v="45500"/>
    <s v="Aprovado"/>
    <x v="0"/>
    <n v="3640"/>
  </r>
  <r>
    <s v="Ativo"/>
    <s v="Bran Dondarrion"/>
    <s v="000.000.049-00"/>
    <n v="18"/>
    <d v="2007-10-14T00:00:00"/>
    <s v="Meereen"/>
    <x v="1"/>
    <n v="18500"/>
    <n v="74500"/>
    <n v="20"/>
    <s v="Médio"/>
    <s v="S"/>
    <n v="45500"/>
    <s v="Aprovado"/>
    <x v="2"/>
    <n v="0"/>
  </r>
  <r>
    <s v="Inativo"/>
    <s v="Ellaria  Reed"/>
    <s v="000.000.311-00"/>
    <n v="70"/>
    <d v="1956-02-17T00:00:00"/>
    <s v="Lannisporto"/>
    <x v="3"/>
    <n v="2500"/>
    <n v="0"/>
    <n v="38"/>
    <s v="Alto"/>
    <s v="N"/>
    <n v="44500"/>
    <s v="Inativo"/>
    <x v="1"/>
    <n v="0"/>
  </r>
  <r>
    <s v="Ativo"/>
    <s v="Jojen Reed"/>
    <s v="000.000.136-00"/>
    <n v="41"/>
    <d v="1984-09-19T00:00:00"/>
    <s v="Ponta Tempestade"/>
    <x v="4"/>
    <n v="20000"/>
    <n v="20500"/>
    <n v="8"/>
    <s v="Baixo"/>
    <s v="S"/>
    <n v="44000"/>
    <s v="Aprovado"/>
    <x v="0"/>
    <n v="3520"/>
  </r>
  <r>
    <s v="Inativo"/>
    <s v="Robert Payne"/>
    <s v="000.000.068-00"/>
    <n v="67"/>
    <d v="1958-11-05T00:00:00"/>
    <s v="Monte Chifre"/>
    <x v="7"/>
    <n v="26300"/>
    <n v="75500"/>
    <n v="25"/>
    <s v="Médio"/>
    <s v="S"/>
    <n v="44000"/>
    <s v="Inativo"/>
    <x v="1"/>
    <n v="0"/>
  </r>
  <r>
    <s v="Ativo"/>
    <s v="Ramsay Karstark"/>
    <s v="000.000.185-00"/>
    <n v="35"/>
    <d v="1991-05-12T00:00:00"/>
    <s v="Pedra do Dragão"/>
    <x v="2"/>
    <n v="5600"/>
    <n v="69500"/>
    <n v="13"/>
    <s v="Médio"/>
    <s v="N"/>
    <n v="43500"/>
    <s v="Aprovado"/>
    <x v="0"/>
    <n v="3480"/>
  </r>
  <r>
    <s v="Ativo"/>
    <s v="Podrick Florent"/>
    <s v="000.000.354-00"/>
    <n v="60"/>
    <d v="1965-10-06T00:00:00"/>
    <s v="Winterfell"/>
    <x v="9"/>
    <n v="22900"/>
    <n v="4500"/>
    <n v="29"/>
    <s v="Alto"/>
    <s v="S"/>
    <n v="43500"/>
    <s v="Negado"/>
    <x v="0"/>
    <n v="0"/>
  </r>
  <r>
    <s v="Ativo"/>
    <s v="Brienne Mallister"/>
    <s v="000.000.202-00"/>
    <n v="53"/>
    <d v="1973-06-25T00:00:00"/>
    <s v="Ilha dos Ursos "/>
    <x v="9"/>
    <n v="9500"/>
    <n v="66500"/>
    <n v="38"/>
    <s v="Alto"/>
    <s v="S"/>
    <n v="42500"/>
    <s v="Negado"/>
    <x v="2"/>
    <n v="0"/>
  </r>
  <r>
    <s v="Ativo"/>
    <s v="Ramsay Blackwood"/>
    <s v="000.000.035-00"/>
    <n v="52"/>
    <d v="1974-07-04T00:00:00"/>
    <s v="Jardim de Cima"/>
    <x v="7"/>
    <n v="17500"/>
    <n v="6500"/>
    <m/>
    <s v="Baixo"/>
    <s v="N"/>
    <n v="42500"/>
    <s v="Aprovado"/>
    <x v="0"/>
    <n v="3400"/>
  </r>
  <r>
    <s v="Ativo"/>
    <s v="Petyr Swyft"/>
    <s v="000.000.275-00"/>
    <n v="36"/>
    <d v="1990-09-01T00:00:00"/>
    <s v="Atalaia da Água Cinzenta"/>
    <x v="8"/>
    <n v="11600"/>
    <n v="78500"/>
    <n v="1"/>
    <s v="Baixo"/>
    <s v="N"/>
    <n v="42000"/>
    <s v="Aprovado"/>
    <x v="0"/>
    <n v="3360"/>
  </r>
  <r>
    <s v="Ativo"/>
    <s v="Podrick Blackwood"/>
    <s v="000.000.135-00"/>
    <n v="32"/>
    <d v="1994-03-18T00:00:00"/>
    <s v="Dorne"/>
    <x v="6"/>
    <n v="0"/>
    <n v="0"/>
    <n v="20"/>
    <s v="Médio"/>
    <s v="N"/>
    <n v="42000"/>
    <s v="Aprovado"/>
    <x v="0"/>
    <n v="3360"/>
  </r>
  <r>
    <s v="Ativo"/>
    <s v="Robert Yronwood"/>
    <s v="000.000.075-00"/>
    <n v="67"/>
    <d v="1959-03-15T00:00:00"/>
    <s v="Winterfell"/>
    <x v="9"/>
    <n v="8500"/>
    <n v="39500"/>
    <m/>
    <s v="Baixo"/>
    <s v="S"/>
    <n v="42000"/>
    <s v="Aprovado"/>
    <x v="0"/>
    <n v="3360"/>
  </r>
  <r>
    <s v="Ativo"/>
    <s v="Melisandre Glover"/>
    <s v="000.000.329-00"/>
    <n v="22"/>
    <d v="2004-08-05T00:00:00"/>
    <s v="Ninho da Águia"/>
    <x v="10"/>
    <n v="10500"/>
    <n v="50500"/>
    <n v="16"/>
    <s v="Médio"/>
    <s v="N"/>
    <n v="41500"/>
    <s v="Aprovado"/>
    <x v="0"/>
    <n v="3320"/>
  </r>
  <r>
    <s v="Inativo"/>
    <s v="Theon Baelish"/>
    <s v="000.000.380-00"/>
    <n v="36"/>
    <d v="1990-02-10T00:00:00"/>
    <s v="Atalaia da Água Cinzenta"/>
    <x v="8"/>
    <n v="27600"/>
    <n v="37000"/>
    <n v="15"/>
    <s v="Médio"/>
    <s v="N"/>
    <n v="41500"/>
    <s v="Inativo"/>
    <x v="1"/>
    <n v="0"/>
  </r>
  <r>
    <s v="Inativo"/>
    <s v="Loras Frey"/>
    <s v="000.000.017-00"/>
    <n v="30"/>
    <d v="1996-05-28T00:00:00"/>
    <s v="Jardim de Cima"/>
    <x v="7"/>
    <n v="3900"/>
    <n v="45000"/>
    <n v="34"/>
    <s v="Alto"/>
    <s v="N"/>
    <n v="41500"/>
    <s v="Inativo"/>
    <x v="1"/>
    <n v="0"/>
  </r>
  <r>
    <s v="Ativo"/>
    <s v="Jorah Marbrand"/>
    <s v="000.000.339-00"/>
    <n v="53"/>
    <d v="1972-09-16T00:00:00"/>
    <s v="Pedra do Dragão"/>
    <x v="2"/>
    <n v="15500"/>
    <n v="0"/>
    <n v="16"/>
    <s v="Médio"/>
    <s v="N"/>
    <n v="41000"/>
    <s v="Aprovado"/>
    <x v="0"/>
    <n v="3280"/>
  </r>
  <r>
    <s v="Ativo"/>
    <s v="Jojen Florent"/>
    <s v="000.000.343-00"/>
    <n v="48"/>
    <d v="1977-10-10T00:00:00"/>
    <s v="Winterfell"/>
    <x v="9"/>
    <n v="13300"/>
    <n v="42000"/>
    <n v="27"/>
    <s v="Alto"/>
    <s v="S"/>
    <n v="40000"/>
    <s v="Negado"/>
    <x v="0"/>
    <n v="0"/>
  </r>
  <r>
    <s v="Ativo"/>
    <s v="Jon Hornwood"/>
    <s v="000.000.331-00"/>
    <n v="26"/>
    <d v="2000-08-21T00:00:00"/>
    <s v="Dorne"/>
    <x v="6"/>
    <n v="23200"/>
    <n v="54500"/>
    <n v="26"/>
    <s v="Alto"/>
    <s v="S"/>
    <n v="39500"/>
    <s v="Negado"/>
    <x v="2"/>
    <n v="0"/>
  </r>
  <r>
    <s v="Ativo"/>
    <s v="Bran Frey"/>
    <s v="000.000.189-00"/>
    <n v="39"/>
    <d v="1987-07-10T00:00:00"/>
    <s v="Ilha dos Ursos"/>
    <x v="9"/>
    <n v="8000"/>
    <n v="69000"/>
    <n v="15"/>
    <s v="Médio"/>
    <s v="N"/>
    <n v="39500"/>
    <s v="Negado"/>
    <x v="2"/>
    <n v="0"/>
  </r>
  <r>
    <s v="Inativo"/>
    <s v="Jeor Mallister"/>
    <s v="000.000.162-00"/>
    <n v="47"/>
    <m/>
    <s v="Correrrio"/>
    <x v="0"/>
    <n v="13300"/>
    <n v="1000"/>
    <n v="24"/>
    <s v="Médio"/>
    <s v="S"/>
    <n v="39500"/>
    <s v="Inativo"/>
    <x v="1"/>
    <n v="0"/>
  </r>
  <r>
    <s v="Ativo"/>
    <s v="Beric  Umber"/>
    <m/>
    <n v="73"/>
    <d v="1953-06-28T00:00:00"/>
    <s v="Pedra do Dragão"/>
    <x v="2"/>
    <n v="12700"/>
    <n v="79500"/>
    <n v="35"/>
    <s v="Alto"/>
    <s v="N"/>
    <n v="39000"/>
    <s v="Aprovado"/>
    <x v="0"/>
    <n v="3120"/>
  </r>
  <r>
    <s v="Inativo"/>
    <s v="Loras Payne"/>
    <s v="000.000.027-00"/>
    <n v="30"/>
    <d v="1996-05-15T00:00:00"/>
    <s v="Braavos"/>
    <x v="1"/>
    <n v="26500"/>
    <n v="14500"/>
    <n v="15"/>
    <s v="Médio"/>
    <s v="N"/>
    <n v="39000"/>
    <s v="Inativo"/>
    <x v="1"/>
    <n v="0"/>
  </r>
  <r>
    <s v="Inativo"/>
    <s v="Jaime Seaworth"/>
    <s v="000.000.263-00"/>
    <n v="33"/>
    <d v="1993-01-20T00:00:00"/>
    <s v="Porto Real"/>
    <x v="2"/>
    <n v="23400"/>
    <n v="59000"/>
    <n v="35"/>
    <s v="Alto"/>
    <s v="S"/>
    <n v="39000"/>
    <s v="Inativo"/>
    <x v="1"/>
    <n v="0"/>
  </r>
  <r>
    <s v="Ativo"/>
    <s v="Gilly Mormont"/>
    <s v="000.000.220-00"/>
    <n v="65"/>
    <d v="1961-03-26T00:00:00"/>
    <s v="Jardim de Cima"/>
    <x v="7"/>
    <n v="18000"/>
    <n v="0"/>
    <n v="27"/>
    <s v="Alto"/>
    <s v="N"/>
    <n v="38500"/>
    <s v="Aprovado"/>
    <x v="0"/>
    <n v="3080"/>
  </r>
  <r>
    <s v="Inativo"/>
    <s v="Asha Bolton"/>
    <s v="000.000.069-00"/>
    <n v="51"/>
    <d v="1975-07-15T00:00:00"/>
    <s v="Castelo Negro"/>
    <x v="9"/>
    <n v="19400"/>
    <n v="4000"/>
    <n v="30"/>
    <s v="Alto"/>
    <s v="N"/>
    <n v="38500"/>
    <s v="Inativo"/>
    <x v="1"/>
    <n v="0"/>
  </r>
  <r>
    <s v="Ativo"/>
    <s v="Margaery Dayne"/>
    <s v="000.000.276-00"/>
    <n v="36"/>
    <d v="1989-10-10T00:00:00"/>
    <s v="Jardim de Cima"/>
    <x v="7"/>
    <n v="23900"/>
    <n v="58000"/>
    <n v="27"/>
    <s v="Alto"/>
    <s v="N"/>
    <n v="38000"/>
    <s v="Aprovado"/>
    <x v="0"/>
    <n v="3040"/>
  </r>
  <r>
    <s v="Ativo"/>
    <s v="Robert Hornwood"/>
    <s v="000.000.285-00"/>
    <n v="41"/>
    <d v="1985-03-09T00:00:00"/>
    <s v="Castelo Negro"/>
    <x v="9"/>
    <n v="23100"/>
    <n v="36000"/>
    <n v="19"/>
    <s v="Médio"/>
    <s v="N"/>
    <n v="37500"/>
    <s v="Aprovado"/>
    <x v="0"/>
    <n v="3000"/>
  </r>
  <r>
    <s v="Ativo"/>
    <s v="Jeor Lannister"/>
    <s v="000.000.091-00"/>
    <n v="37"/>
    <d v="1988-09-26T00:00:00"/>
    <s v="Fosso Cailin"/>
    <x v="9"/>
    <n v="24700"/>
    <n v="23000"/>
    <n v="10"/>
    <s v="Baixo"/>
    <s v="S"/>
    <n v="37500"/>
    <s v="Aprovado"/>
    <x v="0"/>
    <n v="3000"/>
  </r>
  <r>
    <s v="Inativo"/>
    <s v="Jeor Clegane"/>
    <s v="000.000.273-00"/>
    <n v="66"/>
    <d v="1959-11-19T00:00:00"/>
    <s v="Fosso Cailin"/>
    <x v="9"/>
    <n v="9900"/>
    <n v="42000"/>
    <n v="13"/>
    <s v="Médio"/>
    <s v="N"/>
    <n v="37000"/>
    <s v="Inativo"/>
    <x v="1"/>
    <n v="0"/>
  </r>
  <r>
    <s v="Ativo"/>
    <s v="Beric  Karstark"/>
    <s v="000.000.172-00"/>
    <n v="37"/>
    <d v="1989-06-21T00:00:00"/>
    <s v="Braavos"/>
    <x v="1"/>
    <n v="28900"/>
    <n v="71000"/>
    <n v="28"/>
    <s v="Alto"/>
    <s v="N"/>
    <n v="36500"/>
    <s v="Aprovado"/>
    <x v="0"/>
    <n v="2920"/>
  </r>
  <r>
    <s v="Ativo"/>
    <s v="Jorah Dondarrion"/>
    <s v="000.000.210-00"/>
    <n v="63"/>
    <d v="1963-05-25T00:00:00"/>
    <s v="Pyke"/>
    <x v="5"/>
    <n v="10400"/>
    <n v="8500"/>
    <n v="39"/>
    <s v="Alto"/>
    <s v="N"/>
    <n v="36500"/>
    <s v="Aprovado"/>
    <x v="0"/>
    <n v="2920"/>
  </r>
  <r>
    <s v="Ativo"/>
    <s v="Varys Bolton"/>
    <s v="000.000.272-00"/>
    <n v="56"/>
    <d v="1970-05-22T00:00:00"/>
    <s v="Fosso Cailin"/>
    <x v="9"/>
    <n v="14100"/>
    <n v="1500"/>
    <n v="26"/>
    <s v="Alto"/>
    <s v="N"/>
    <n v="36000"/>
    <s v="Aprovado"/>
    <x v="0"/>
    <n v="2880"/>
  </r>
  <r>
    <s v="Ativo"/>
    <s v="Yara Mallister"/>
    <s v="000.000.134-00"/>
    <n v="44"/>
    <d v="1981-11-02T00:00:00"/>
    <s v="Lannisporto"/>
    <x v="3"/>
    <n v="20600"/>
    <n v="8000"/>
    <n v="39"/>
    <s v="Alto"/>
    <s v="N"/>
    <n v="36000"/>
    <s v="Aprovado"/>
    <x v="0"/>
    <n v="2880"/>
  </r>
  <r>
    <s v="Ativo"/>
    <s v="Thoros Tarth"/>
    <s v="000.000.239-00"/>
    <n v="39"/>
    <d v="1986-11-24T00:00:00"/>
    <s v="Pyke"/>
    <x v="5"/>
    <n v="13200"/>
    <n v="0"/>
    <n v="38"/>
    <s v="Alto"/>
    <s v="N"/>
    <n v="36000"/>
    <s v="Aprovado"/>
    <x v="0"/>
    <n v="2880"/>
  </r>
  <r>
    <s v="Inativo"/>
    <s v="Melisandre Clegane"/>
    <s v="000.000.231-00"/>
    <n v="53"/>
    <d v="1972-11-26T00:00:00"/>
    <s v="Ilha dos Ursos"/>
    <x v="9"/>
    <n v="16500"/>
    <n v="4000"/>
    <n v="14"/>
    <s v="Médio"/>
    <s v="N"/>
    <n v="36000"/>
    <s v="Inativo"/>
    <x v="1"/>
    <n v="0"/>
  </r>
  <r>
    <s v="Ativo"/>
    <s v="Bronn Crakehall"/>
    <s v="000.000.295-00"/>
    <n v="68"/>
    <d v="1957-09-16T00:00:00"/>
    <s v="Atalaia da Água Cinzenta"/>
    <x v="8"/>
    <n v="3600"/>
    <n v="64500"/>
    <n v="32"/>
    <s v="Alto"/>
    <s v="S"/>
    <n v="35500"/>
    <s v="Negado"/>
    <x v="2"/>
    <n v="0"/>
  </r>
  <r>
    <s v="Ativo"/>
    <s v="Catelyn Westerling"/>
    <s v="000.000.358-00"/>
    <n v="70"/>
    <d v="1956-03-01T00:00:00"/>
    <s v="Braavos"/>
    <x v="1"/>
    <n v="19500"/>
    <n v="62000"/>
    <n v="45"/>
    <s v="Alto"/>
    <s v="S"/>
    <n v="35500"/>
    <s v="Negado"/>
    <x v="2"/>
    <n v="0"/>
  </r>
  <r>
    <s v="Ativo"/>
    <s v="Podrick Swyft"/>
    <s v="000.000.090-00"/>
    <n v="32"/>
    <d v="1994-05-03T00:00:00"/>
    <s v="Correrrio"/>
    <x v="0"/>
    <n v="21300"/>
    <n v="48000"/>
    <n v="11"/>
    <s v="Médio"/>
    <s v="N"/>
    <n v="35000"/>
    <s v="Aprovado"/>
    <x v="0"/>
    <n v="2800"/>
  </r>
  <r>
    <s v="Ativo"/>
    <s v="Bran Yronwood"/>
    <s v="000.000.057-00"/>
    <n v="42"/>
    <d v="1984-07-15T00:00:00"/>
    <s v="Pyke"/>
    <x v="5"/>
    <n v="17500"/>
    <n v="3500"/>
    <n v="25"/>
    <s v="Médio"/>
    <s v="N"/>
    <n v="35000"/>
    <s v="Aprovado"/>
    <x v="0"/>
    <n v="2800"/>
  </r>
  <r>
    <s v="Ativo"/>
    <s v="Daenerys Seaworth"/>
    <s v="000.000.341-00"/>
    <n v="54"/>
    <d v="1971-10-07T00:00:00"/>
    <s v="Vilavelha"/>
    <x v="7"/>
    <n v="29700"/>
    <n v="34000"/>
    <n v="35"/>
    <s v="Alto"/>
    <s v="N"/>
    <n v="35000"/>
    <s v="Aprovado"/>
    <x v="0"/>
    <n v="2800"/>
  </r>
  <r>
    <s v="Ativo"/>
    <s v="Cersei Tarth"/>
    <s v="000.000.147-00"/>
    <n v="52"/>
    <d v="1973-09-14T00:00:00"/>
    <s v="Ilha dos Ursos"/>
    <x v="9"/>
    <n v="7300"/>
    <n v="74000"/>
    <n v="40"/>
    <s v="Alto"/>
    <s v="N"/>
    <n v="34500"/>
    <s v="Aprovado"/>
    <x v="0"/>
    <n v="2760"/>
  </r>
  <r>
    <s v="Ativo"/>
    <s v="Catelyn  Dayne"/>
    <s v="000.000.213-00"/>
    <n v="68"/>
    <d v="1957-11-21T00:00:00"/>
    <s v="Ponta Tempestade"/>
    <x v="4"/>
    <n v="24500"/>
    <n v="16500"/>
    <n v="22"/>
    <s v="Médio"/>
    <s v="N"/>
    <n v="34500"/>
    <s v="Aprovado"/>
    <x v="0"/>
    <n v="2760"/>
  </r>
  <r>
    <s v="Ativo"/>
    <s v="Brienne Glover"/>
    <s v="000.000.355-00"/>
    <n v="67"/>
    <d v="1958-12-03T00:00:00"/>
    <s v="Solar do Entardecer"/>
    <x v="4"/>
    <n v="11300"/>
    <n v="49500"/>
    <n v="12"/>
    <s v="Médio"/>
    <s v="N"/>
    <n v="34500"/>
    <s v="Aprovado"/>
    <x v="0"/>
    <n v="2760"/>
  </r>
  <r>
    <s v="Ativo"/>
    <s v="Melisandre Baratheon"/>
    <s v="000.000.364-00"/>
    <n v="22"/>
    <m/>
    <s v="Meereen"/>
    <x v="1"/>
    <n v="14400"/>
    <n v="0"/>
    <n v="27"/>
    <s v="Alto"/>
    <s v="N"/>
    <n v="33500"/>
    <s v="Aprovado"/>
    <x v="0"/>
    <n v="2680"/>
  </r>
  <r>
    <s v="Ativo"/>
    <s v="Ellaria Yronwood"/>
    <s v="000.000.176-00"/>
    <n v="73"/>
    <d v="1953-01-05T00:00:00"/>
    <s v="Monte Chifre"/>
    <x v="7"/>
    <n v="16500"/>
    <n v="54000"/>
    <n v="11"/>
    <s v="Médio"/>
    <s v="N"/>
    <n v="33500"/>
    <s v="Aprovado"/>
    <x v="0"/>
    <n v="2680"/>
  </r>
  <r>
    <s v="Ativo"/>
    <s v="Theon Karstark"/>
    <s v="000.000.296-00"/>
    <n v="71"/>
    <d v="1955-04-08T00:00:00"/>
    <s v="Braavos"/>
    <x v="1"/>
    <n v="29200"/>
    <n v="73500"/>
    <n v="2"/>
    <s v="Baixo"/>
    <s v="N"/>
    <n v="33000"/>
    <s v="Aprovado"/>
    <x v="0"/>
    <n v="2640"/>
  </r>
  <r>
    <s v="Ativo"/>
    <s v="Meera Lannister"/>
    <s v="000.000.121-00"/>
    <n v="58"/>
    <d v="1967-11-01T00:00:00"/>
    <s v="Ninho da Águia"/>
    <x v="10"/>
    <n v="22200"/>
    <n v="0"/>
    <n v="42"/>
    <s v="Alto"/>
    <s v="N"/>
    <n v="33000"/>
    <s v="Aprovado"/>
    <x v="0"/>
    <n v="2640"/>
  </r>
  <r>
    <s v="Ativo"/>
    <s v="Jaime Yronwood"/>
    <m/>
    <n v="24"/>
    <m/>
    <s v="Pedra do Dragão"/>
    <x v="2"/>
    <n v="17000"/>
    <n v="41000"/>
    <n v="37"/>
    <s v="Alto"/>
    <s v="N"/>
    <n v="33000"/>
    <s v="Aprovado"/>
    <x v="0"/>
    <n v="2640"/>
  </r>
  <r>
    <s v="Ativo"/>
    <s v="Daario Tyrell"/>
    <s v="000.000.251-00"/>
    <n v="51"/>
    <d v="1974-12-14T00:00:00"/>
    <s v="Pyke"/>
    <x v="5"/>
    <n v="16300"/>
    <n v="0"/>
    <n v="8"/>
    <s v="Baixo"/>
    <s v="N"/>
    <n v="33000"/>
    <s v="Aprovado"/>
    <x v="0"/>
    <n v="2640"/>
  </r>
  <r>
    <s v="Ativo"/>
    <s v="Bronn Royce"/>
    <s v="000.000.369-00"/>
    <n v="61"/>
    <d v="1965-07-05T00:00:00"/>
    <s v="Solar do Entardecer"/>
    <x v="4"/>
    <n v="22900"/>
    <n v="7500"/>
    <n v="12"/>
    <s v="Médio"/>
    <s v="N"/>
    <n v="33000"/>
    <s v="Negado"/>
    <x v="2"/>
    <n v="0"/>
  </r>
  <r>
    <s v="Ativo"/>
    <s v="Robert Mallister"/>
    <s v="000.000.037-00"/>
    <n v="25"/>
    <d v="2000-10-25T00:00:00"/>
    <s v="Castelo Negro"/>
    <x v="9"/>
    <n v="18300"/>
    <n v="41000"/>
    <n v="9"/>
    <s v="Baixo"/>
    <s v="N"/>
    <n v="32500"/>
    <s v="Aprovado"/>
    <x v="0"/>
    <n v="2600"/>
  </r>
  <r>
    <s v="Ativo"/>
    <s v="Olenna Baelish"/>
    <s v="000.000.191-00"/>
    <n v="48"/>
    <d v="1978-06-06T00:00:00"/>
    <s v="Lannisporto"/>
    <x v="3"/>
    <n v="13200"/>
    <n v="3500"/>
    <n v="1"/>
    <s v="Baixo"/>
    <s v="N"/>
    <n v="32500"/>
    <s v="Aprovado"/>
    <x v="0"/>
    <n v="2600"/>
  </r>
  <r>
    <s v="Ativo"/>
    <s v="Brienne Manderly"/>
    <s v="000.000.076-00"/>
    <n v="28"/>
    <d v="1998-02-04T00:00:00"/>
    <s v="Lannisporto"/>
    <x v="3"/>
    <n v="8600"/>
    <n v="19000"/>
    <n v="4"/>
    <s v="Baixo"/>
    <s v="S"/>
    <n v="32500"/>
    <s v="Aprovado"/>
    <x v="0"/>
    <n v="2600"/>
  </r>
  <r>
    <s v="Ativo"/>
    <s v="Lyanna Tarly"/>
    <s v="000.000.232-00"/>
    <n v="28"/>
    <m/>
    <s v="Braavos"/>
    <x v="1"/>
    <n v="14500"/>
    <n v="39500"/>
    <n v="18"/>
    <s v="Médio"/>
    <s v="N"/>
    <n v="32000"/>
    <s v="Aprovado"/>
    <x v="0"/>
    <n v="2560"/>
  </r>
  <r>
    <s v="Ativo"/>
    <s v="Bronn Mallister"/>
    <s v="000.000.200-00"/>
    <n v="35"/>
    <m/>
    <s v="Vilavelha"/>
    <x v="7"/>
    <n v="28000"/>
    <n v="76500"/>
    <n v="39"/>
    <s v="Alto"/>
    <s v="N"/>
    <n v="32000"/>
    <s v="Aprovado"/>
    <x v="0"/>
    <n v="2560"/>
  </r>
  <r>
    <m/>
    <s v="Viserys Hightower"/>
    <s v="000.000.080-00"/>
    <n v="54"/>
    <d v="1972-04-14T00:00:00"/>
    <s v="Monte Chifre"/>
    <x v="7"/>
    <n v="20800"/>
    <n v="16000"/>
    <n v="32"/>
    <s v="Alto"/>
    <s v="N"/>
    <n v="31500"/>
    <s v="Negado"/>
    <x v="2"/>
    <n v="0"/>
  </r>
  <r>
    <s v="Ativo"/>
    <s v="Bronn Blackwood"/>
    <s v="000.000.052-00"/>
    <n v="43"/>
    <d v="1982-12-24T00:00:00"/>
    <s v="Atalaia da Água Cinzenta"/>
    <x v="8"/>
    <n v="18400"/>
    <n v="62000"/>
    <n v="33"/>
    <s v="Alto"/>
    <s v="N"/>
    <n v="31000"/>
    <s v="Aprovado"/>
    <x v="0"/>
    <n v="2480"/>
  </r>
  <r>
    <s v="Ativo"/>
    <s v="Olenna Bracken"/>
    <s v="000.000.225-00"/>
    <n v="45"/>
    <d v="1981-01-12T00:00:00"/>
    <s v="Lannisporto"/>
    <x v="3"/>
    <n v="22800"/>
    <m/>
    <n v="10"/>
    <s v="Baixo"/>
    <s v="N"/>
    <n v="31000"/>
    <s v="Aprovado"/>
    <x v="0"/>
    <n v="2480"/>
  </r>
  <r>
    <s v="Ativo"/>
    <s v="Rickon Hornwood"/>
    <s v="000.000.078-00"/>
    <n v="35"/>
    <d v="1991-03-09T00:00:00"/>
    <s v="Ponta Tempestade"/>
    <x v="4"/>
    <n v="9700"/>
    <n v="0"/>
    <n v="20"/>
    <s v="Médio"/>
    <s v="N"/>
    <n v="31000"/>
    <s v="Aprovado"/>
    <x v="0"/>
    <n v="2480"/>
  </r>
  <r>
    <s v="Inativo"/>
    <s v="Varys  Blackwood"/>
    <s v="000.000.267-00"/>
    <n v="54"/>
    <d v="1972-06-03T00:00:00"/>
    <s v="Atalaia da Água Cinzenta"/>
    <x v="8"/>
    <n v="3900"/>
    <n v="80000"/>
    <n v="41"/>
    <s v="Alto"/>
    <s v="N"/>
    <n v="30000"/>
    <s v="Inativo"/>
    <x v="1"/>
    <n v="0"/>
  </r>
  <r>
    <s v="Ativo"/>
    <s v="Aegon Redwyne"/>
    <s v="000.000.347-00"/>
    <n v="19"/>
    <d v="2006-10-26T00:00:00"/>
    <s v="Pyke"/>
    <x v="5"/>
    <n v="14900"/>
    <n v="17000"/>
    <n v="20"/>
    <s v="Médio"/>
    <s v="N"/>
    <n v="29500"/>
    <s v="Aprovado"/>
    <x v="0"/>
    <n v="2360"/>
  </r>
  <r>
    <s v="Ativo"/>
    <s v="Arya Bolton"/>
    <s v="000.000.072-00"/>
    <n v="72"/>
    <d v="1954-05-08T00:00:00"/>
    <s v="Solar do Entardecer"/>
    <x v="4"/>
    <n v="27100"/>
    <n v="71000"/>
    <n v="32"/>
    <s v="Alto"/>
    <s v="N"/>
    <n v="29500"/>
    <s v="Aprovado"/>
    <x v="0"/>
    <n v="2360"/>
  </r>
  <r>
    <s v="Ativo"/>
    <s v="Podrick Dayne"/>
    <s v="000.000.223-00"/>
    <n v="25"/>
    <d v="2000-11-01T00:00:00"/>
    <s v="Vilavelha"/>
    <x v="7"/>
    <n v="9400"/>
    <n v="51500"/>
    <n v="14"/>
    <s v="Médio"/>
    <s v="N"/>
    <n v="29500"/>
    <s v="Negado"/>
    <x v="2"/>
    <n v="0"/>
  </r>
  <r>
    <s v="Inativo"/>
    <s v="Davos Umber"/>
    <s v="000.000.353-00"/>
    <n v="74"/>
    <d v="1952-02-23T00:00:00"/>
    <s v="Lannisporto"/>
    <x v="3"/>
    <n v="24000"/>
    <n v="35000"/>
    <n v="6"/>
    <s v="Baixo"/>
    <s v="N"/>
    <n v="29500"/>
    <s v="Inativo"/>
    <x v="1"/>
    <n v="0"/>
  </r>
  <r>
    <s v="Ativo"/>
    <s v="Lyanna Marbrand"/>
    <s v="000.000.283-00"/>
    <n v="27"/>
    <d v="1999-05-28T00:00:00"/>
    <s v="Correrrio"/>
    <x v="0"/>
    <n v="5300"/>
    <n v="22000"/>
    <n v="11"/>
    <s v="Médio"/>
    <s v="N"/>
    <n v="28500"/>
    <s v="Negado"/>
    <x v="2"/>
    <n v="0"/>
  </r>
  <r>
    <s v="Ativo"/>
    <s v="Thoros Westerling"/>
    <s v="000.000.257-00"/>
    <n v="27"/>
    <d v="1998-12-23T00:00:00"/>
    <s v="Jardim de Cima"/>
    <x v="7"/>
    <n v="30000"/>
    <n v="27000"/>
    <n v="28"/>
    <s v="Alto"/>
    <s v="N"/>
    <n v="28500"/>
    <s v="Aprovado"/>
    <x v="0"/>
    <n v="2280"/>
  </r>
  <r>
    <s v="Inativo"/>
    <s v="Grey Worm Targaryen"/>
    <s v="000.000.084-00"/>
    <n v="38"/>
    <d v="1988-07-27T00:00:00"/>
    <s v="Pedra do Dragão"/>
    <x v="2"/>
    <n v="23600"/>
    <n v="0"/>
    <m/>
    <s v="Baixo"/>
    <s v="N"/>
    <n v="28500"/>
    <s v="Inativo"/>
    <x v="1"/>
    <n v="0"/>
  </r>
  <r>
    <s v="Ativo"/>
    <s v="Yara Royce"/>
    <s v="000.000.277-00"/>
    <n v="65"/>
    <d v="1961-06-04T00:00:00"/>
    <s v="Ninho da Águia"/>
    <x v="10"/>
    <n v="12700"/>
    <n v="60500"/>
    <n v="36"/>
    <s v="Alto"/>
    <s v="N"/>
    <n v="28000"/>
    <s v="Aprovado"/>
    <x v="0"/>
    <n v="2240"/>
  </r>
  <r>
    <s v="Inativo"/>
    <s v="Gilly Frey"/>
    <s v="000.000.258-00"/>
    <n v="33"/>
    <d v="1993-07-04T00:00:00"/>
    <s v="Castelo Negro"/>
    <x v="9"/>
    <n v="2400"/>
    <n v="78000"/>
    <n v="6"/>
    <s v="Baixo"/>
    <s v="N"/>
    <n v="28000"/>
    <s v="Inativo"/>
    <x v="1"/>
    <n v="0"/>
  </r>
  <r>
    <s v="Ativo"/>
    <s v="Ellaria Targaryen"/>
    <s v="000.000.149-00"/>
    <n v="54"/>
    <d v="1971-10-24T00:00:00"/>
    <s v="Fosso Cailin"/>
    <x v="9"/>
    <n v="18700"/>
    <n v="46000"/>
    <n v="4"/>
    <s v="Baixo"/>
    <s v="S"/>
    <n v="27500"/>
    <s v="Aprovado"/>
    <x v="0"/>
    <n v="2200"/>
  </r>
  <r>
    <s v="Ativo"/>
    <s v="Asha Blackwood"/>
    <s v="000.000.085-00"/>
    <n v="50"/>
    <d v="1976-05-06T00:00:00"/>
    <s v="Dorne"/>
    <x v="6"/>
    <n v="16100"/>
    <n v="8000"/>
    <n v="30"/>
    <s v="Alto"/>
    <s v="S"/>
    <n v="27000"/>
    <s v="Negado"/>
    <x v="0"/>
    <n v="0"/>
  </r>
  <r>
    <s v="Inativo"/>
    <s v="Jaime Seaworth"/>
    <s v="000.000.371-00"/>
    <n v="68"/>
    <d v="1958-01-05T00:00:00"/>
    <s v="Castelo Negro"/>
    <x v="9"/>
    <n v="2800"/>
    <n v="76000"/>
    <n v="44"/>
    <s v="Alto"/>
    <s v="N"/>
    <n v="27000"/>
    <s v="Inativo"/>
    <x v="1"/>
    <n v="0"/>
  </r>
  <r>
    <s v="Inativo"/>
    <s v="Eddard Stark"/>
    <s v="000.000.015-00"/>
    <n v="55"/>
    <d v="1971-07-28T00:00:00"/>
    <s v="Ninho da Águia"/>
    <x v="10"/>
    <n v="29700"/>
    <n v="78000"/>
    <n v="14"/>
    <s v="Médio"/>
    <s v="S"/>
    <n v="27000"/>
    <s v="Inativo"/>
    <x v="1"/>
    <n v="0"/>
  </r>
  <r>
    <s v="Inativo"/>
    <s v="Margaery Cerwyn"/>
    <s v="000.000.211-00"/>
    <n v="31"/>
    <d v="1995-02-08T00:00:00"/>
    <s v="Vilavelha"/>
    <x v="7"/>
    <n v="22600"/>
    <n v="58000"/>
    <n v="5"/>
    <s v="Baixo"/>
    <s v="N"/>
    <n v="26500"/>
    <s v="Inativo"/>
    <x v="1"/>
    <n v="0"/>
  </r>
  <r>
    <s v="Ativo"/>
    <s v="Bran Frey"/>
    <s v="000.000.042-00"/>
    <n v="33"/>
    <d v="1992-10-15T00:00:00"/>
    <s v="Braavos"/>
    <x v="1"/>
    <n v="29200"/>
    <n v="3000"/>
    <n v="40"/>
    <s v="Alto"/>
    <s v="S"/>
    <n v="26000"/>
    <s v="Negado"/>
    <x v="0"/>
    <n v="0"/>
  </r>
  <r>
    <s v="Ativo"/>
    <s v="Yara Royce"/>
    <s v="000.000.320-00"/>
    <n v="68"/>
    <d v="1957-12-08T00:00:00"/>
    <s v="Castelo Negro"/>
    <x v="9"/>
    <n v="11500"/>
    <n v="17500"/>
    <n v="19"/>
    <s v="Médio"/>
    <s v="N"/>
    <n v="26000"/>
    <s v="Aprovado"/>
    <x v="0"/>
    <n v="2080"/>
  </r>
  <r>
    <s v="Ativo"/>
    <s v="Rhaegar Umber"/>
    <s v="000.000.247-00"/>
    <n v="19"/>
    <d v="2007-05-18T00:00:00"/>
    <s v="Vilavelha"/>
    <x v="7"/>
    <n v="18000"/>
    <n v="50500"/>
    <n v="11"/>
    <s v="Médio"/>
    <s v="S"/>
    <n v="26000"/>
    <s v="Aprovado"/>
    <x v="2"/>
    <n v="0"/>
  </r>
  <r>
    <s v="Inativo"/>
    <s v="Stannis Lannister"/>
    <s v="000.000.361-00"/>
    <n v="24"/>
    <d v="2002-02-26T00:00:00"/>
    <s v="Ponta Tempestade"/>
    <x v="4"/>
    <n v="11000"/>
    <n v="76500"/>
    <n v="33"/>
    <s v="Alto"/>
    <s v="S"/>
    <n v="26000"/>
    <s v="Inativo"/>
    <x v="1"/>
    <n v="0"/>
  </r>
  <r>
    <s v="Ativo"/>
    <s v="Missandei Arryn"/>
    <s v="000.000.368-00"/>
    <n v="50"/>
    <d v="1975-12-01T00:00:00"/>
    <s v="Pedra do Dragão"/>
    <x v="2"/>
    <n v="22800"/>
    <n v="70000"/>
    <n v="14"/>
    <s v="Médio"/>
    <s v="S"/>
    <n v="25500"/>
    <s v="Aprovado"/>
    <x v="2"/>
    <n v="0"/>
  </r>
  <r>
    <s v="Ativo"/>
    <s v="Brienne Westerling"/>
    <s v="000.000.379-00"/>
    <n v="59"/>
    <d v="1967-04-16T00:00:00"/>
    <s v="Atalaia da Água Cinzenta"/>
    <x v="8"/>
    <n v="6600"/>
    <n v="50000"/>
    <n v="9"/>
    <s v="Baixo"/>
    <s v="S"/>
    <n v="25000"/>
    <s v="Aprovado"/>
    <x v="0"/>
    <n v="2000"/>
  </r>
  <r>
    <s v="Ativo"/>
    <s v="Robb Reed"/>
    <s v="000.000.246-00"/>
    <n v="29"/>
    <d v="1997-06-19T00:00:00"/>
    <s v="Harrenhal"/>
    <x v="0"/>
    <n v="9600"/>
    <n v="41000"/>
    <n v="27"/>
    <s v="Alto"/>
    <s v="N"/>
    <n v="25000"/>
    <s v="Aprovado"/>
    <x v="0"/>
    <n v="2000"/>
  </r>
  <r>
    <s v="Ativo"/>
    <s v="Eddard Royce"/>
    <s v="000.000.181-00"/>
    <n v="73"/>
    <d v="1952-11-16T00:00:00"/>
    <s v="Pedra do Dragão"/>
    <x v="2"/>
    <n v="6100"/>
    <n v="16000"/>
    <n v="9"/>
    <s v="Baixo"/>
    <s v="N"/>
    <n v="24500"/>
    <s v="Aprovado"/>
    <x v="0"/>
    <n v="1960"/>
  </r>
  <r>
    <s v="Ativo"/>
    <s v="Melisandre  Baelish"/>
    <s v="000.000.152-00"/>
    <n v="69"/>
    <d v="1957-08-19T00:00:00"/>
    <s v="Ponta Tempestade"/>
    <x v="4"/>
    <n v="25100"/>
    <n v="40500"/>
    <n v="43"/>
    <s v="Alto"/>
    <s v="N"/>
    <n v="24500"/>
    <s v="Aprovado"/>
    <x v="0"/>
    <n v="1960"/>
  </r>
  <r>
    <s v="Ativo"/>
    <s v="Varys Lannister"/>
    <s v="000.000.367-00"/>
    <n v="67"/>
    <d v="1958-11-08T00:00:00"/>
    <s v="Pyke"/>
    <x v="5"/>
    <n v="21600"/>
    <n v="73500"/>
    <n v="7"/>
    <s v="Baixo"/>
    <s v="S"/>
    <n v="24500"/>
    <s v="Aprovado"/>
    <x v="2"/>
    <n v="0"/>
  </r>
  <r>
    <s v="Inativo"/>
    <s v="Shae Tarly"/>
    <s v="000.000.235-00"/>
    <n v="33"/>
    <d v="1992-10-25T00:00:00"/>
    <s v="Jardim de Cima"/>
    <x v="7"/>
    <n v="12500"/>
    <n v="51500"/>
    <n v="44"/>
    <s v="Alto"/>
    <s v="S"/>
    <n v="24000"/>
    <s v="Inativo"/>
    <x v="1"/>
    <n v="0"/>
  </r>
  <r>
    <s v="Ativo"/>
    <s v="Eddard Mallister"/>
    <s v="000.000.309-00"/>
    <n v="47"/>
    <d v="1978-11-08T00:00:00"/>
    <s v="Atalaia da Água Cinzenta"/>
    <x v="8"/>
    <n v="22700"/>
    <n v="8500"/>
    <n v="35"/>
    <s v="Alto"/>
    <m/>
    <n v="23500"/>
    <s v="Aprovado"/>
    <x v="0"/>
    <n v="0"/>
  </r>
  <r>
    <s v="Ativo"/>
    <s v="Shae Clegane"/>
    <s v="000.000.205-00"/>
    <n v="40"/>
    <d v="1986-05-07T00:00:00"/>
    <s v="Fosso Cailin"/>
    <x v="9"/>
    <n v="9900"/>
    <n v="3500"/>
    <n v="1"/>
    <s v="Baixo"/>
    <s v="N"/>
    <n v="23500"/>
    <s v="Aprovado"/>
    <x v="0"/>
    <n v="1880"/>
  </r>
  <r>
    <s v="Ativo"/>
    <s v="Daenerys Tallhart"/>
    <s v="000.000.092-00"/>
    <n v="37"/>
    <d v="1989-02-04T00:00:00"/>
    <s v="Vilavelha"/>
    <x v="7"/>
    <n v="29200"/>
    <n v="45000"/>
    <n v="26"/>
    <s v="Alto"/>
    <s v="N"/>
    <n v="23500"/>
    <s v="Negado"/>
    <x v="2"/>
    <n v="0"/>
  </r>
  <r>
    <s v="Inativo"/>
    <s v="Davos Tyrell"/>
    <s v="000.000.079-00"/>
    <n v="65"/>
    <d v="1960-12-25T00:00:00"/>
    <s v="Ninho da Águia"/>
    <x v="10"/>
    <n v="3300"/>
    <n v="43500"/>
    <n v="27"/>
    <s v="Alto"/>
    <s v="N"/>
    <n v="23500"/>
    <s v="Inativo"/>
    <x v="1"/>
    <n v="0"/>
  </r>
  <r>
    <s v="Ativo"/>
    <s v="Lyanna Swyft"/>
    <s v="000.000.180-00"/>
    <n v="29"/>
    <d v="1996-10-06T00:00:00"/>
    <s v="Ninho da Águia"/>
    <x v="10"/>
    <n v="19900"/>
    <n v="49500"/>
    <n v="27"/>
    <s v="Alto"/>
    <s v="S"/>
    <n v="23000"/>
    <s v="Negado"/>
    <x v="0"/>
    <n v="0"/>
  </r>
  <r>
    <s v="Inativo"/>
    <s v="Thoros Hornwood"/>
    <s v="000.000.245-00"/>
    <n v="65"/>
    <d v="1960-10-16T00:00:00"/>
    <s v="Castelo Negro"/>
    <x v="9"/>
    <n v="19800"/>
    <n v="78500"/>
    <n v="34"/>
    <s v="Alto"/>
    <s v="N"/>
    <n v="23000"/>
    <s v="Inativo"/>
    <x v="1"/>
    <n v="0"/>
  </r>
  <r>
    <s v="Ativo"/>
    <s v="Jon Cerwyn"/>
    <s v="000.000.112-00"/>
    <n v="65"/>
    <d v="1961-02-02T00:00:00"/>
    <s v="Ponta Tempestade"/>
    <x v="4"/>
    <n v="6100"/>
    <n v="40000"/>
    <n v="13"/>
    <s v="Médio"/>
    <s v="N"/>
    <n v="22500"/>
    <s v="Aprovado"/>
    <x v="0"/>
    <n v="1800"/>
  </r>
  <r>
    <s v="Inativo"/>
    <s v="Petyr Karstark"/>
    <s v="000.000.237-00"/>
    <n v="74"/>
    <d v="1952-08-28T00:00:00"/>
    <s v="Jardim de Cima"/>
    <x v="7"/>
    <n v="8900"/>
    <n v="4000"/>
    <n v="38"/>
    <s v="Alto"/>
    <s v="N"/>
    <n v="22500"/>
    <s v="Inativo"/>
    <x v="1"/>
    <n v="0"/>
  </r>
  <r>
    <s v="Ativo"/>
    <s v="Tyrion Karstark"/>
    <s v="000.000.038-00"/>
    <n v="41"/>
    <d v="1984-11-06T00:00:00"/>
    <s v="Lannisporto"/>
    <x v="3"/>
    <n v="28600"/>
    <n v="67500"/>
    <n v="39"/>
    <s v="Alto"/>
    <s v="N"/>
    <n v="22000"/>
    <s v="Aprovado"/>
    <x v="0"/>
    <n v="1760"/>
  </r>
  <r>
    <s v="Ativo"/>
    <s v="Aegon Clegane"/>
    <s v="000.000.330-00"/>
    <n v="28"/>
    <d v="1997-11-23T00:00:00"/>
    <s v="Meereen"/>
    <x v="1"/>
    <n v="16600"/>
    <n v="23500"/>
    <n v="10"/>
    <s v="Baixo"/>
    <s v="N"/>
    <n v="21500"/>
    <s v="Aprovado"/>
    <x v="0"/>
    <n v="1720"/>
  </r>
  <r>
    <s v="Inativo"/>
    <s v="Cersei Tarth"/>
    <s v="000.000.203-00"/>
    <n v="46"/>
    <d v="1980-07-25T00:00:00"/>
    <s v="Harrenhal"/>
    <x v="0"/>
    <n v="0"/>
    <n v="37500"/>
    <m/>
    <s v="Baixo"/>
    <s v="N"/>
    <n v="21500"/>
    <s v="Inativo"/>
    <x v="1"/>
    <n v="0"/>
  </r>
  <r>
    <s v="Ativo"/>
    <s v="Shae Mormont"/>
    <s v="000.000.114-00"/>
    <n v="72"/>
    <d v="1953-09-21T00:00:00"/>
    <s v="Lannisporto"/>
    <x v="3"/>
    <n v="12600"/>
    <n v="5500"/>
    <n v="35"/>
    <s v="Alto"/>
    <s v="N"/>
    <n v="21000"/>
    <s v="Aprovado"/>
    <x v="0"/>
    <n v="1680"/>
  </r>
  <r>
    <s v="Inativo"/>
    <s v="Missandei Glover"/>
    <s v="000.000.340-00"/>
    <n v="38"/>
    <d v="1987-12-07T00:00:00"/>
    <s v="Ponta Tempestade"/>
    <x v="4"/>
    <n v="15800"/>
    <n v="14500"/>
    <n v="4"/>
    <s v="Baixo"/>
    <s v="N"/>
    <n v="21000"/>
    <s v="Inativo"/>
    <x v="1"/>
    <n v="0"/>
  </r>
  <r>
    <s v="Ativo"/>
    <s v="Bran Umber"/>
    <s v="000.000.132-00"/>
    <n v="29"/>
    <d v="1996-09-26T00:00:00"/>
    <s v="Pyke"/>
    <x v="5"/>
    <n v="19500"/>
    <n v="57000"/>
    <n v="12"/>
    <s v="Médio"/>
    <s v="N"/>
    <n v="20500"/>
    <s v="Aprovado"/>
    <x v="0"/>
    <n v="1640"/>
  </r>
  <r>
    <s v="Inativo"/>
    <s v="Lyanna Tarth"/>
    <s v="000.000.345-00"/>
    <n v="73"/>
    <m/>
    <s v="Castelo Negro"/>
    <x v="9"/>
    <n v="19900"/>
    <n v="47000"/>
    <n v="19"/>
    <s v="Médio"/>
    <s v="N"/>
    <n v="20500"/>
    <s v="Inativo"/>
    <x v="1"/>
    <n v="0"/>
  </r>
  <r>
    <s v="Inativo"/>
    <s v="Daario Arryn"/>
    <s v="000.000.173-00"/>
    <n v="63"/>
    <d v="1963-04-18T00:00:00"/>
    <s v="Ninho da Águia"/>
    <x v="10"/>
    <n v="9300"/>
    <n v="48500"/>
    <n v="28"/>
    <s v="Alto"/>
    <s v="N"/>
    <n v="20000"/>
    <s v="Inativo"/>
    <x v="1"/>
    <n v="0"/>
  </r>
  <r>
    <s v="Inativo"/>
    <s v="Renly Bolton"/>
    <s v="000.000.206-00"/>
    <n v="55"/>
    <d v="1971-05-22T00:00:00"/>
    <s v="Ninho da Águia"/>
    <x v="10"/>
    <n v="21100"/>
    <n v="67500"/>
    <n v="15"/>
    <s v="Médio"/>
    <s v="N"/>
    <n v="20000"/>
    <s v="Inativo"/>
    <x v="1"/>
    <n v="0"/>
  </r>
  <r>
    <s v="Inativo"/>
    <s v="Yara Tallhart"/>
    <s v="000.000.064-00"/>
    <n v="57"/>
    <d v="1969-01-03T00:00:00"/>
    <s v="Correrrio"/>
    <x v="0"/>
    <n v="3400"/>
    <n v="0"/>
    <n v="20"/>
    <s v="Médio"/>
    <s v="N"/>
    <n v="19500"/>
    <s v="Inativo"/>
    <x v="1"/>
    <n v="0"/>
  </r>
  <r>
    <s v="Ativo"/>
    <s v="Missandei Glover"/>
    <s v="000.000.305-00"/>
    <n v="62"/>
    <d v="1963-09-24T00:00:00"/>
    <s v="Castelo Negro"/>
    <x v="9"/>
    <n v="17000"/>
    <n v="64000"/>
    <n v="21"/>
    <s v="Médio"/>
    <s v="S"/>
    <n v="19000"/>
    <s v="Aprovado"/>
    <x v="2"/>
    <n v="0"/>
  </r>
  <r>
    <s v="Ativo"/>
    <s v="Roose Dondarrion"/>
    <s v="000.000.126-00"/>
    <n v="53"/>
    <d v="1972-11-17T00:00:00"/>
    <s v="Ninho da Águia"/>
    <x v="10"/>
    <n v="21300"/>
    <n v="79500"/>
    <n v="18"/>
    <s v="Médio"/>
    <s v="N"/>
    <n v="19000"/>
    <s v="Aprovado"/>
    <x v="0"/>
    <n v="1520"/>
  </r>
  <r>
    <s v="Ativo"/>
    <s v="Melisandre Targaryen"/>
    <s v="000.000.170-00"/>
    <n v="31"/>
    <d v="1995-06-02T00:00:00"/>
    <s v="Fosso Cailin"/>
    <x v="9"/>
    <n v="20500"/>
    <n v="47500"/>
    <n v="11"/>
    <s v="Médio"/>
    <s v="N"/>
    <n v="18500"/>
    <s v="Aprovado"/>
    <x v="0"/>
    <n v="1480"/>
  </r>
  <r>
    <s v="Ativo"/>
    <s v="Shae Frey"/>
    <s v="000.000.127-00"/>
    <n v="26"/>
    <d v="1999-12-24T00:00:00"/>
    <s v="Ilha dos Ursos"/>
    <x v="9"/>
    <n v="5000"/>
    <n v="61500"/>
    <n v="35"/>
    <s v="Alto"/>
    <s v="N"/>
    <n v="18500"/>
    <s v="Aprovado"/>
    <x v="0"/>
    <n v="1480"/>
  </r>
  <r>
    <s v="Ativo"/>
    <s v="Jorah Marbrand"/>
    <s v="000.000.168-00"/>
    <n v="37"/>
    <d v="1988-09-28T00:00:00"/>
    <s v="Pedra do Dragão"/>
    <x v="2"/>
    <n v="12800"/>
    <n v="76500"/>
    <n v="30"/>
    <s v="Alto"/>
    <s v="N"/>
    <n v="18500"/>
    <s v="Negado"/>
    <x v="2"/>
    <n v="0"/>
  </r>
  <r>
    <s v="Ativo"/>
    <s v="Loras Greyjoy"/>
    <s v="000.000.362-00"/>
    <n v="68"/>
    <d v="1957-11-21T00:00:00"/>
    <s v="Fosso Cailin"/>
    <x v="9"/>
    <n v="29000"/>
    <n v="67500"/>
    <n v="25"/>
    <s v="Médio"/>
    <s v="N"/>
    <n v="18000"/>
    <s v="Aprovado"/>
    <x v="0"/>
    <n v="1440"/>
  </r>
  <r>
    <s v="Ativo"/>
    <s v="Rhaegar Targaryen"/>
    <s v="000.000.342-00"/>
    <n v="51"/>
    <d v="1975-01-19T00:00:00"/>
    <s v="Fosso Cailin"/>
    <x v="9"/>
    <n v="18500"/>
    <n v="69500"/>
    <n v="31"/>
    <s v="Alto"/>
    <s v="N"/>
    <n v="18000"/>
    <s v="Aprovado"/>
    <x v="0"/>
    <n v="1440"/>
  </r>
  <r>
    <s v="Ativo"/>
    <s v="Jaime Dondarrion"/>
    <s v="000.000.056-00"/>
    <n v="35"/>
    <d v="1991-04-08T00:00:00"/>
    <s v="Ninho da Águia"/>
    <x v="10"/>
    <n v="20900"/>
    <n v="54000"/>
    <n v="44"/>
    <s v="Alto"/>
    <s v="N"/>
    <n v="18000"/>
    <s v="Aprovado"/>
    <x v="0"/>
    <n v="1440"/>
  </r>
  <r>
    <s v="Ativo"/>
    <s v="Grey Worm Targaryen"/>
    <s v="000.000.060-00"/>
    <n v="48"/>
    <d v="1978-07-18T00:00:00"/>
    <s v="Ponta Tempestade"/>
    <x v="4"/>
    <n v="18700"/>
    <n v="11000"/>
    <n v="28"/>
    <s v="Alto"/>
    <s v="N"/>
    <n v="18000"/>
    <s v="Aprovado"/>
    <x v="0"/>
    <n v="1440"/>
  </r>
  <r>
    <s v="Inativo"/>
    <s v="Margaery Tyrell"/>
    <s v="000.000.107-00"/>
    <n v="31"/>
    <d v="1995-05-05T00:00:00"/>
    <s v="Solar do Entardecer"/>
    <x v="4"/>
    <n v="29500"/>
    <n v="5000"/>
    <n v="22"/>
    <s v="Médio"/>
    <s v="N"/>
    <n v="18000"/>
    <s v="Inativo"/>
    <x v="1"/>
    <n v="0"/>
  </r>
  <r>
    <s v="Ativo"/>
    <s v="Catelyn Cerwyn"/>
    <s v="000.000.308-00"/>
    <n v="60"/>
    <d v="1965-12-06T00:00:00"/>
    <s v="Atalaia da Água Cinzenta"/>
    <x v="8"/>
    <n v="13800"/>
    <n v="45500"/>
    <n v="30"/>
    <s v="Alto"/>
    <s v="N"/>
    <n v="17500"/>
    <s v="Aprovado"/>
    <x v="0"/>
    <n v="1400"/>
  </r>
  <r>
    <s v="Ativo"/>
    <s v="Arya Marbrand"/>
    <s v="000.000.133-00"/>
    <n v="24"/>
    <d v="2001-10-08T00:00:00"/>
    <s v="Ninho da Águia"/>
    <x v="10"/>
    <n v="21600"/>
    <n v="25000"/>
    <n v="33"/>
    <s v="Alto"/>
    <s v="N"/>
    <n v="17500"/>
    <s v="Aprovado"/>
    <x v="0"/>
    <n v="1400"/>
  </r>
  <r>
    <s v="Ativo"/>
    <s v="Margaery Tarly"/>
    <s v="000.000.274-00"/>
    <n v="34"/>
    <d v="1992-01-21T00:00:00"/>
    <s v="Pyke"/>
    <x v="5"/>
    <n v="8000"/>
    <n v="14500"/>
    <n v="9"/>
    <s v="Baixo"/>
    <s v="S"/>
    <n v="17500"/>
    <s v="Aprovado"/>
    <x v="0"/>
    <n v="1400"/>
  </r>
  <r>
    <s v="Inativo"/>
    <s v="Ellaria Mallister"/>
    <s v="000.000.194-00"/>
    <n v="38"/>
    <d v="1987-11-21T00:00:00"/>
    <s v="Pyke"/>
    <x v="5"/>
    <n v="13500"/>
    <n v="24000"/>
    <n v="2"/>
    <s v="Baixo"/>
    <s v="N"/>
    <n v="17500"/>
    <s v="Inativo"/>
    <x v="1"/>
    <n v="0"/>
  </r>
  <r>
    <s v="Ativo"/>
    <s v="Tyrion Westerling"/>
    <s v="000.000.290-00"/>
    <n v="35"/>
    <d v="1991-06-28T00:00:00"/>
    <s v="Correrrio"/>
    <x v="0"/>
    <n v="23100"/>
    <n v="55000"/>
    <n v="9"/>
    <s v="Baixo"/>
    <s v="N"/>
    <n v="17000"/>
    <s v="Aprovado"/>
    <x v="0"/>
    <n v="1360"/>
  </r>
  <r>
    <s v="Ativo"/>
    <s v="Robert Hornwood"/>
    <s v="000.000.259-00"/>
    <n v="73"/>
    <d v="1953-01-04T00:00:00"/>
    <s v="Jardim de Cima"/>
    <x v="7"/>
    <n v="23000"/>
    <n v="19000"/>
    <n v="0"/>
    <s v="Baixo"/>
    <s v="N"/>
    <n v="17000"/>
    <s v="Aprovado"/>
    <x v="0"/>
    <n v="1360"/>
  </r>
  <r>
    <s v="Ativo"/>
    <s v="Tyrion Tyrell"/>
    <s v="000.000.190-00"/>
    <n v="42"/>
    <d v="1984-02-12T00:00:00"/>
    <s v="Ilha dos Ursos"/>
    <x v="9"/>
    <n v="18500"/>
    <n v="59000"/>
    <n v="44"/>
    <s v="Alto"/>
    <s v="N"/>
    <n v="16500"/>
    <s v="Aprovado"/>
    <x v="0"/>
    <n v="1320"/>
  </r>
  <r>
    <s v="Ativo"/>
    <s v="Jorah Redwyne"/>
    <s v="000.000.165-00"/>
    <n v="37"/>
    <d v="1989-01-05T00:00:00"/>
    <s v="Monte Chifre"/>
    <x v="7"/>
    <n v="2600"/>
    <n v="0"/>
    <n v="5"/>
    <s v="Baixo"/>
    <s v="N"/>
    <n v="16500"/>
    <s v="Aprovado"/>
    <x v="0"/>
    <n v="1320"/>
  </r>
  <r>
    <s v="Ativo"/>
    <s v="Loras  Tarth"/>
    <s v="000.000.286-00"/>
    <n v="43"/>
    <d v="1983-05-01T00:00:00"/>
    <s v="Porto Real"/>
    <x v="2"/>
    <n v="14600"/>
    <n v="18500"/>
    <n v="22"/>
    <s v="Médio"/>
    <s v="S"/>
    <n v="16500"/>
    <s v="Aprovado"/>
    <x v="0"/>
    <n v="1320"/>
  </r>
  <r>
    <s v="Ativo"/>
    <s v="Jon Hightower"/>
    <s v="000.000.081-00"/>
    <n v="60"/>
    <d v="1966-09-12T00:00:00"/>
    <s v="Winterfell"/>
    <x v="9"/>
    <n v="18900"/>
    <n v="1000"/>
    <n v="42"/>
    <s v="Alto"/>
    <s v="S"/>
    <n v="16500"/>
    <s v="Negado"/>
    <x v="0"/>
    <n v="0"/>
  </r>
  <r>
    <m/>
    <s v="Ramsay Stark"/>
    <s v="000.000.169-00"/>
    <n v="61"/>
    <d v="1965-03-12T00:00:00"/>
    <s v="Braavos"/>
    <x v="1"/>
    <n v="26300"/>
    <n v="40000"/>
    <n v="10"/>
    <s v="Baixo"/>
    <s v="S"/>
    <n v="16500"/>
    <s v="Negado"/>
    <x v="2"/>
    <n v="0"/>
  </r>
  <r>
    <s v="Ativo"/>
    <s v="Ellaria Baelish"/>
    <s v="000.000.336-00"/>
    <n v="32"/>
    <d v="1994-01-13T00:00:00"/>
    <s v="Ninho da Águia"/>
    <x v="10"/>
    <n v="15600"/>
    <n v="0"/>
    <n v="34"/>
    <s v="Alto"/>
    <s v="S"/>
    <n v="16000"/>
    <s v="Negado"/>
    <x v="0"/>
    <n v="0"/>
  </r>
  <r>
    <s v="Ativo"/>
    <s v="Jon Tarth"/>
    <s v="000.000.208-00"/>
    <n v="52"/>
    <d v="1974-02-28T00:00:00"/>
    <s v="Ponta Tempestade"/>
    <x v="4"/>
    <n v="24900"/>
    <n v="0"/>
    <n v="24"/>
    <s v="Médio"/>
    <s v="N"/>
    <n v="16000"/>
    <s v="Aprovado"/>
    <x v="0"/>
    <n v="1280"/>
  </r>
  <r>
    <s v="Inativo"/>
    <s v="Tormund Greyjoy"/>
    <s v="000.000.009-00"/>
    <n v="58"/>
    <d v="1968-02-04T00:00:00"/>
    <s v="Pyke"/>
    <x v="5"/>
    <n v="12500"/>
    <n v="44500"/>
    <n v="13"/>
    <s v="Médio"/>
    <s v="N"/>
    <n v="16000"/>
    <s v="Inativo"/>
    <x v="1"/>
    <n v="0"/>
  </r>
  <r>
    <s v="Inativo"/>
    <s v="Robert Manderly"/>
    <s v="000.000.230-00"/>
    <n v="53"/>
    <d v="1973-03-21T00:00:00"/>
    <s v="Pyke"/>
    <x v="5"/>
    <n v="26400"/>
    <n v="9500"/>
    <n v="21"/>
    <s v="Médio"/>
    <s v="N"/>
    <n v="16000"/>
    <s v="Inativo"/>
    <x v="1"/>
    <n v="0"/>
  </r>
  <r>
    <s v="Ativo"/>
    <s v="Aegon Marbrand"/>
    <s v="000.000.352-00"/>
    <n v="65"/>
    <d v="1961-02-25T00:00:00"/>
    <s v="Castelo Negro"/>
    <x v="9"/>
    <n v="3800"/>
    <n v="49500"/>
    <n v="16"/>
    <s v="Médio"/>
    <s v="N"/>
    <n v="15500"/>
    <s v="Aprovado"/>
    <x v="0"/>
    <n v="1240"/>
  </r>
  <r>
    <s v="Ativo"/>
    <s v="Lyanna Westerling"/>
    <s v="000.000.179-00"/>
    <n v="44"/>
    <d v="1982-02-09T00:00:00"/>
    <s v="Porto Real"/>
    <x v="2"/>
    <n v="6700"/>
    <n v="16500"/>
    <n v="38"/>
    <s v="Alto"/>
    <s v="S"/>
    <n v="15500"/>
    <s v="Negado"/>
    <x v="0"/>
    <n v="0"/>
  </r>
  <r>
    <s v="Ativo"/>
    <s v="Beric Seaworth"/>
    <s v="000.000.025-00"/>
    <n v="72"/>
    <d v="1954-03-17T00:00:00"/>
    <s v="Correrrio"/>
    <x v="0"/>
    <n v="24300"/>
    <n v="13500"/>
    <n v="33"/>
    <s v="Alto"/>
    <s v="N"/>
    <n v="14500"/>
    <s v="Aprovado"/>
    <x v="0"/>
    <n v="1160"/>
  </r>
  <r>
    <m/>
    <s v="Shae Blackwood"/>
    <s v="000.000.145-00"/>
    <n v="36"/>
    <d v="1990-02-04T00:00:00"/>
    <s v="Atalaia da Água Cinzenta"/>
    <x v="8"/>
    <n v="9400"/>
    <n v="0"/>
    <n v="9"/>
    <s v="Baixo"/>
    <s v="N"/>
    <n v="14500"/>
    <s v="Negado"/>
    <x v="2"/>
    <n v="0"/>
  </r>
  <r>
    <s v="Ativo"/>
    <s v="Robert Westerling"/>
    <s v="000.000.105-00"/>
    <n v="25"/>
    <d v="2001-08-15T00:00:00"/>
    <s v="Jardim de Cima"/>
    <x v="7"/>
    <n v="27300"/>
    <n v="1500"/>
    <n v="33"/>
    <s v="Alto"/>
    <s v="S"/>
    <n v="14000"/>
    <s v="Negado"/>
    <x v="0"/>
    <n v="0"/>
  </r>
  <r>
    <s v="Ativo"/>
    <s v="Davos Tyrell"/>
    <s v="000.000.161-00"/>
    <n v="57"/>
    <m/>
    <s v="Lannisporto"/>
    <x v="3"/>
    <n v="0"/>
    <n v="0"/>
    <n v="28"/>
    <s v="Alto"/>
    <s v="S"/>
    <n v="13000"/>
    <s v="Negado"/>
    <x v="0"/>
    <n v="0"/>
  </r>
  <r>
    <s v="Ativo"/>
    <s v="Tyrion Lannister"/>
    <s v="000.000.028-00"/>
    <n v="24"/>
    <d v="2002-08-02T00:00:00"/>
    <s v="Solar do Entardecer"/>
    <x v="4"/>
    <n v="16900"/>
    <n v="42500"/>
    <n v="26"/>
    <s v="Alto"/>
    <s v="S"/>
    <n v="12500"/>
    <s v="Negado"/>
    <x v="0"/>
    <n v="0"/>
  </r>
  <r>
    <s v="Ativo"/>
    <s v="Brienne Manderly"/>
    <s v="000.000.140-00"/>
    <n v="29"/>
    <d v="1997-02-11T00:00:00"/>
    <s v="Fosso Cailin"/>
    <x v="9"/>
    <n v="11900"/>
    <n v="65000"/>
    <n v="29"/>
    <s v="Alto"/>
    <s v="S"/>
    <n v="12000"/>
    <s v="Negado"/>
    <x v="2"/>
    <n v="0"/>
  </r>
  <r>
    <s v="Inativo"/>
    <s v="Jorah Hightower"/>
    <s v="000.000.346-00"/>
    <n v="63"/>
    <d v="1963-09-05T00:00:00"/>
    <s v="Pedra do Dragão"/>
    <x v="2"/>
    <n v="0"/>
    <n v="0"/>
    <n v="1"/>
    <s v="Baixo"/>
    <s v="S"/>
    <n v="12000"/>
    <s v="Inativo"/>
    <x v="1"/>
    <n v="0"/>
  </r>
  <r>
    <s v="Ativo"/>
    <s v="Tormund Royce"/>
    <s v="000.000.297-00"/>
    <n v="55"/>
    <d v="1970-11-08T00:00:00"/>
    <s v="Ponta Tempestade"/>
    <x v="4"/>
    <n v="27500"/>
    <n v="14000"/>
    <n v="3"/>
    <s v="Baixo"/>
    <s v="N"/>
    <n v="11500"/>
    <s v="Aprovado"/>
    <x v="0"/>
    <n v="920"/>
  </r>
  <r>
    <s v="Inativo"/>
    <s v="Grey Worm Hornwood"/>
    <s v="000.000.322-00"/>
    <n v="26"/>
    <d v="2000-01-15T00:00:00"/>
    <s v="Pedra do Dragão"/>
    <x v="2"/>
    <n v="24000"/>
    <n v="52000"/>
    <n v="30"/>
    <s v="Alto"/>
    <s v="N"/>
    <n v="11500"/>
    <s v="Inativo"/>
    <x v="1"/>
    <n v="0"/>
  </r>
  <r>
    <s v="Ativo"/>
    <s v="Varys  Stark"/>
    <s v="000.000.377-00"/>
    <n v="23"/>
    <d v="2002-11-06T00:00:00"/>
    <s v="Braavos"/>
    <x v="1"/>
    <n v="2600"/>
    <n v="0"/>
    <n v="30"/>
    <s v="Alto"/>
    <s v="S"/>
    <n v="11000"/>
    <s v="Negado"/>
    <x v="0"/>
    <n v="0"/>
  </r>
  <r>
    <s v="Ativo"/>
    <s v="Robb Clegane"/>
    <s v="000.000.304-00"/>
    <n v="18"/>
    <d v="2007-09-13T00:00:00"/>
    <s v="Fosso Cailin"/>
    <x v="9"/>
    <n v="14100"/>
    <n v="38500"/>
    <n v="7"/>
    <s v="Baixo"/>
    <s v="N"/>
    <n v="11000"/>
    <s v="Aprovado"/>
    <x v="0"/>
    <n v="880"/>
  </r>
  <r>
    <s v="Ativo"/>
    <s v="Olenna Lannister"/>
    <s v="000.000.212-00"/>
    <n v="26"/>
    <d v="1999-09-19T00:00:00"/>
    <s v="Pedra do Dragão"/>
    <x v="2"/>
    <n v="8900"/>
    <n v="72000"/>
    <n v="17"/>
    <s v="Médio"/>
    <m/>
    <n v="11000"/>
    <s v="Aprovado"/>
    <x v="0"/>
    <n v="0"/>
  </r>
  <r>
    <s v="Inativo"/>
    <s v="Eddard Greyjoy"/>
    <s v="000.000.238-00"/>
    <n v="55"/>
    <d v="1970-10-07T00:00:00"/>
    <s v="Meereen"/>
    <x v="1"/>
    <n v="0"/>
    <n v="5000"/>
    <n v="8"/>
    <s v="Baixo"/>
    <s v="N"/>
    <n v="11000"/>
    <s v="Inativo"/>
    <x v="1"/>
    <n v="0"/>
  </r>
  <r>
    <s v="Inativo"/>
    <s v="Aegon Florent"/>
    <s v="000.000.271-00"/>
    <n v="55"/>
    <d v="1970-11-23T00:00:00"/>
    <s v="Meereen"/>
    <x v="1"/>
    <n v="6800"/>
    <n v="12000"/>
    <n v="6"/>
    <s v="Baixo"/>
    <s v="N"/>
    <n v="11000"/>
    <s v="Inativo"/>
    <x v="1"/>
    <n v="0"/>
  </r>
  <r>
    <s v="Ativo"/>
    <s v="Jon Dayne"/>
    <s v="000.000.319-00"/>
    <n v="20"/>
    <d v="2005-11-22T00:00:00"/>
    <s v="Braavos"/>
    <x v="1"/>
    <n v="9300"/>
    <n v="35000"/>
    <n v="5"/>
    <s v="Baixo"/>
    <s v="N"/>
    <n v="10500"/>
    <s v="Aprovado"/>
    <x v="0"/>
    <n v="840"/>
  </r>
  <r>
    <s v="Ativo"/>
    <s v="Jorah Hightower"/>
    <s v="000.000.007-00"/>
    <n v="44"/>
    <d v="1982-04-28T00:00:00"/>
    <s v="Correrrio"/>
    <x v="0"/>
    <n v="21700"/>
    <n v="34500"/>
    <n v="29"/>
    <s v="Alto"/>
    <s v="N"/>
    <n v="10500"/>
    <s v="Aprovado"/>
    <x v="0"/>
    <n v="840"/>
  </r>
  <r>
    <s v="Ativo"/>
    <s v="Jon Tarth"/>
    <s v="000.000.004-00"/>
    <n v="26"/>
    <d v="2000-05-25T00:00:00"/>
    <s v="Ponta Tempestade"/>
    <x v="4"/>
    <n v="25000"/>
    <n v="1000"/>
    <n v="16"/>
    <s v="Médio"/>
    <s v="N"/>
    <n v="10500"/>
    <s v="Aprovado"/>
    <x v="0"/>
    <n v="840"/>
  </r>
  <r>
    <s v="Ativo"/>
    <s v="Missandei Karstark"/>
    <s v="000.000.044-00"/>
    <n v="42"/>
    <d v="1983-12-16T00:00:00"/>
    <s v="Pedra do Dragão"/>
    <x v="2"/>
    <n v="6000"/>
    <n v="55000"/>
    <n v="5"/>
    <s v="Baixo"/>
    <s v="N"/>
    <n v="10000"/>
    <s v="Aprovado"/>
    <x v="0"/>
    <n v="800"/>
  </r>
  <r>
    <s v="Ativo"/>
    <s v="Gilly Glover"/>
    <s v="000.000.022-00"/>
    <n v="58"/>
    <d v="1968-01-03T00:00:00"/>
    <s v="Atalaia da Água Cinzenta"/>
    <x v="8"/>
    <n v="2800"/>
    <n v="35000"/>
    <n v="36"/>
    <s v="Alto"/>
    <s v="N"/>
    <n v="9000"/>
    <s v="Aprovado"/>
    <x v="0"/>
    <n v="720"/>
  </r>
  <r>
    <s v="Ativo"/>
    <s v="Robb Greyjoy"/>
    <s v="000.000.227-00"/>
    <n v="25"/>
    <d v="2001-06-14T00:00:00"/>
    <s v="Fosso Cailin"/>
    <x v="9"/>
    <n v="25400"/>
    <n v="4000"/>
    <n v="4"/>
    <s v="Baixo"/>
    <s v="N"/>
    <n v="8500"/>
    <s v="Aprovado"/>
    <x v="0"/>
    <n v="680"/>
  </r>
  <r>
    <s v="Inativo"/>
    <s v="Ellaria Bracken"/>
    <s v="000.000.138-00"/>
    <n v="59"/>
    <d v="1967-02-09T00:00:00"/>
    <s v="Monte Chifre"/>
    <x v="7"/>
    <n v="6300"/>
    <n v="15000"/>
    <n v="42"/>
    <s v="Alto"/>
    <s v="N"/>
    <n v="8500"/>
    <s v="Inativo"/>
    <x v="1"/>
    <n v="0"/>
  </r>
  <r>
    <s v="Ativo"/>
    <s v="Robert Karstark"/>
    <s v="000.000.184-00"/>
    <n v="68"/>
    <d v="1958-07-12T00:00:00"/>
    <s v="Meereen"/>
    <x v="1"/>
    <n v="14300"/>
    <n v="32500"/>
    <n v="15"/>
    <s v="Médio"/>
    <s v="S"/>
    <n v="8000"/>
    <s v="Aprovado"/>
    <x v="0"/>
    <n v="640"/>
  </r>
  <r>
    <s v="Ativo"/>
    <s v="Sansa Clegane"/>
    <s v="000.000.174-00"/>
    <n v="67"/>
    <d v="1959-05-01T00:00:00"/>
    <s v="Ponta Tempestade"/>
    <x v="4"/>
    <n v="6500"/>
    <n v="42500"/>
    <n v="3"/>
    <s v="Baixo"/>
    <s v="S"/>
    <n v="8000"/>
    <s v="Aprovado"/>
    <x v="0"/>
    <n v="640"/>
  </r>
  <r>
    <s v="Ativo"/>
    <s v="Jeor Karstark"/>
    <s v="000.000.310-00"/>
    <n v="25"/>
    <d v="2001-09-03T00:00:00"/>
    <s v="Ninho da Águia"/>
    <x v="10"/>
    <n v="0"/>
    <n v="21000"/>
    <n v="34"/>
    <s v="Alto"/>
    <s v="N"/>
    <n v="7500"/>
    <s v="Aprovado"/>
    <x v="0"/>
    <n v="600"/>
  </r>
  <r>
    <s v="Inativo"/>
    <s v="Brienne Reed"/>
    <s v="000.000.306-00"/>
    <n v="68"/>
    <d v="1958-04-18T00:00:00"/>
    <s v="Pyke"/>
    <x v="5"/>
    <n v="3800"/>
    <n v="70000"/>
    <n v="34"/>
    <s v="Alto"/>
    <s v="S"/>
    <n v="7500"/>
    <s v="Inativo"/>
    <x v="1"/>
    <n v="0"/>
  </r>
  <r>
    <s v="Ativo"/>
    <s v="Eddard Payne"/>
    <s v="000.000.159-00"/>
    <n v="27"/>
    <d v="1999-09-08T00:00:00"/>
    <s v="Correrrio"/>
    <x v="0"/>
    <n v="9200"/>
    <n v="68500"/>
    <n v="27"/>
    <s v="Alto"/>
    <s v="N"/>
    <n v="7000"/>
    <s v="Aprovado"/>
    <x v="0"/>
    <n v="560"/>
  </r>
  <r>
    <s v="Ativo"/>
    <s v="Bronn Stark"/>
    <s v="000.000.313-00"/>
    <n v="30"/>
    <d v="1996-04-25T00:00:00"/>
    <s v="Ilha dos Ursos"/>
    <x v="9"/>
    <n v="13800"/>
    <n v="42000"/>
    <n v="29"/>
    <s v="Alto"/>
    <m/>
    <n v="7000"/>
    <s v="Aprovado"/>
    <x v="0"/>
    <n v="0"/>
  </r>
  <r>
    <s v="Inativo"/>
    <s v="Jorah Dondarrion"/>
    <s v="000.000.294-00"/>
    <n v="39"/>
    <d v="1986-10-08T00:00:00"/>
    <s v="Lannisporto"/>
    <x v="3"/>
    <n v="22200"/>
    <n v="0"/>
    <n v="3"/>
    <s v="Baixo"/>
    <s v="S"/>
    <n v="7000"/>
    <s v="Inativo"/>
    <x v="1"/>
    <n v="0"/>
  </r>
  <r>
    <s v="Ativo"/>
    <s v="Bran Frey"/>
    <s v="000.000.189-00"/>
    <n v="39"/>
    <d v="1987-07-10T00:00:00"/>
    <s v="Ilha dos Ursos "/>
    <x v="9"/>
    <n v="8000"/>
    <n v="69000"/>
    <n v="15"/>
    <s v="Médio"/>
    <s v="N"/>
    <n v="6500"/>
    <s v="Negado"/>
    <x v="2"/>
    <n v="0"/>
  </r>
  <r>
    <s v="Ativo"/>
    <s v="Thoros Yronwood"/>
    <s v="000.000.201-00"/>
    <n v="55"/>
    <d v="1970-12-23T00:00:00"/>
    <s v="Pyke"/>
    <x v="5"/>
    <n v="20200"/>
    <n v="61000"/>
    <n v="10"/>
    <s v="Baixo"/>
    <s v="N"/>
    <n v="6500"/>
    <s v="Aprovado"/>
    <x v="0"/>
    <n v="520"/>
  </r>
  <r>
    <s v="Ativo"/>
    <s v="Loras Bracken"/>
    <s v="000.000.254-00"/>
    <n v="51"/>
    <d v="1975-04-21T00:00:00"/>
    <s v="Atalaia da Água Cinzenta"/>
    <x v="8"/>
    <n v="7200"/>
    <n v="17500"/>
    <n v="40"/>
    <s v="Alto"/>
    <s v="S"/>
    <n v="5500"/>
    <s v="Negado"/>
    <x v="0"/>
    <n v="0"/>
  </r>
  <r>
    <s v="Ativo"/>
    <s v="Rickon Targaryen"/>
    <s v="000.000.298-00"/>
    <n v="19"/>
    <d v="2006-10-13T00:00:00"/>
    <s v="Ilha dos Ursos"/>
    <x v="9"/>
    <n v="4000"/>
    <n v="29500"/>
    <n v="13"/>
    <s v="Médio"/>
    <s v="S"/>
    <n v="5000"/>
    <s v="Aprovado"/>
    <x v="0"/>
    <n v="400"/>
  </r>
  <r>
    <s v="Ativo"/>
    <s v="Stannis Seaworth"/>
    <s v="000.000.316-00"/>
    <n v="64"/>
    <d v="1962-08-28T00:00:00"/>
    <s v="Pyke"/>
    <x v="5"/>
    <n v="8800"/>
    <n v="66000"/>
    <n v="28"/>
    <s v="Alto"/>
    <s v="N"/>
    <n v="5000"/>
    <s v="Aprovado"/>
    <x v="0"/>
    <n v="400"/>
  </r>
  <r>
    <s v="Inativo"/>
    <s v="Petyr Mallister"/>
    <s v="000.000.116-00"/>
    <n v="36"/>
    <d v="1990-01-17T00:00:00"/>
    <s v="Correrrio"/>
    <x v="0"/>
    <n v="28100"/>
    <n v="36500"/>
    <n v="13"/>
    <s v="Médio"/>
    <s v="N"/>
    <n v="5000"/>
    <s v="Inativo"/>
    <x v="1"/>
    <n v="0"/>
  </r>
  <r>
    <s v="Inativo"/>
    <s v="Tormund Glover"/>
    <s v="000.000.087-00"/>
    <n v="63"/>
    <d v="1962-12-14T00:00:00"/>
    <s v="Pyke"/>
    <x v="5"/>
    <n v="20000"/>
    <n v="29500"/>
    <n v="42"/>
    <s v="Alto"/>
    <s v="N"/>
    <n v="5000"/>
    <s v="Inativo"/>
    <x v="1"/>
    <n v="0"/>
  </r>
  <r>
    <s v="Inativo"/>
    <s v="Renly Tallhart"/>
    <s v="000.000.117-00"/>
    <n v="27"/>
    <d v="1998-12-22T00:00:00"/>
    <s v="Winterfell"/>
    <x v="9"/>
    <n v="25900"/>
    <n v="0"/>
    <n v="10"/>
    <s v="Baixo"/>
    <s v="S"/>
    <n v="5000"/>
    <s v="Inativo"/>
    <x v="1"/>
    <n v="0"/>
  </r>
  <r>
    <s v="Ativo"/>
    <s v="Renly Stark"/>
    <s v="000.000.252-00"/>
    <n v="44"/>
    <d v="1982-05-10T00:00:00"/>
    <s v="Braavos"/>
    <x v="1"/>
    <n v="9600"/>
    <n v="66000"/>
    <n v="11"/>
    <s v="Médio"/>
    <m/>
    <n v="4500"/>
    <s v="Aprovado"/>
    <x v="0"/>
    <n v="0"/>
  </r>
  <r>
    <s v="Ativo"/>
    <s v="Lyanna Marbrand"/>
    <s v="000.000.283-00"/>
    <n v="27"/>
    <d v="1999-05-28T00:00:00"/>
    <s v="Correrrio"/>
    <x v="0"/>
    <n v="5300"/>
    <n v="22000"/>
    <n v="11"/>
    <s v="Médio"/>
    <s v="N"/>
    <n v="4500"/>
    <s v="Negado"/>
    <x v="2"/>
    <n v="0"/>
  </r>
  <r>
    <s v="Ativo"/>
    <s v="Stannis Redwyne"/>
    <s v="000.000.216-00"/>
    <n v="34"/>
    <d v="1992-08-19T00:00:00"/>
    <s v="Jardim de Cima"/>
    <x v="7"/>
    <n v="5100"/>
    <n v="17000"/>
    <n v="3"/>
    <s v="Baixo"/>
    <s v="N"/>
    <n v="4500"/>
    <s v="Aprovado"/>
    <x v="0"/>
    <n v="360"/>
  </r>
  <r>
    <s v="Ativo"/>
    <s v="Bronn Arryn"/>
    <s v="000.000.016-00"/>
    <n v="44"/>
    <d v="1982-01-24T00:00:00"/>
    <s v="Lannisporto"/>
    <x v="3"/>
    <n v="5300"/>
    <n v="6000"/>
    <n v="1"/>
    <s v="Baixo"/>
    <s v="S"/>
    <n v="4500"/>
    <s v="Aprovado"/>
    <x v="0"/>
    <n v="360"/>
  </r>
  <r>
    <s v="Ativo"/>
    <s v="Catelyn Lannister"/>
    <s v="000.000.110-00"/>
    <n v="33"/>
    <d v="1993-04-11T00:00:00"/>
    <s v="Solar do Entardecer"/>
    <x v="4"/>
    <n v="29300"/>
    <n v="69000"/>
    <n v="0"/>
    <s v="Baixo"/>
    <s v="S"/>
    <n v="4500"/>
    <s v="Aprovado"/>
    <x v="2"/>
    <n v="0"/>
  </r>
  <r>
    <s v="Inativo"/>
    <s v="Daario Marbrand"/>
    <s v="000.000.014-00"/>
    <n v="46"/>
    <d v="1979-09-15T00:00:00"/>
    <s v="Fosso Cailin"/>
    <x v="9"/>
    <n v="15000"/>
    <n v="0"/>
    <n v="40"/>
    <s v="Alto"/>
    <s v="N"/>
    <n v="4500"/>
    <s v="Inativo"/>
    <x v="1"/>
    <n v="0"/>
  </r>
  <r>
    <s v="Ativo"/>
    <s v="Sansa Dondarrion"/>
    <s v="000.000.101-00"/>
    <n v="22"/>
    <d v="2003-11-11T00:00:00"/>
    <s v="Ninho da Águia"/>
    <x v="10"/>
    <n v="4100"/>
    <n v="2000"/>
    <n v="8"/>
    <s v="Baixo"/>
    <s v="N"/>
    <n v="4000"/>
    <s v="Aprovado"/>
    <x v="0"/>
    <n v="320"/>
  </r>
  <r>
    <s v="Ativo"/>
    <s v="Bran Tarly"/>
    <s v="000.000.269-00"/>
    <n v="53"/>
    <d v="1973-05-06T00:00:00"/>
    <s v="Braavos"/>
    <x v="1"/>
    <n v="0"/>
    <n v="21500"/>
    <n v="44"/>
    <s v="Alto"/>
    <s v="S"/>
    <n v="3500"/>
    <s v="Negado"/>
    <x v="0"/>
    <n v="0"/>
  </r>
  <r>
    <s v="Ativo"/>
    <s v="Davos Royce"/>
    <s v="000.000.033-00"/>
    <n v="31"/>
    <d v="1995-08-03T00:00:00"/>
    <s v="Pyke"/>
    <x v="5"/>
    <n v="20800"/>
    <n v="17500"/>
    <n v="35"/>
    <s v="Alto"/>
    <s v="N"/>
    <n v="3300"/>
    <s v="Negado"/>
    <x v="2"/>
    <n v="0"/>
  </r>
  <r>
    <s v="Ativo"/>
    <s v="Olenna Arryn"/>
    <s v="000.000.096-00"/>
    <n v="49"/>
    <d v="1977-07-24T00:00:00"/>
    <s v="Braavos"/>
    <x v="1"/>
    <n v="11500"/>
    <n v="44500"/>
    <n v="45"/>
    <s v="Alto"/>
    <s v="N"/>
    <n v="3000"/>
    <s v="Aprovado"/>
    <x v="0"/>
    <n v="240"/>
  </r>
  <r>
    <s v="Ativo"/>
    <s v="Varys Blackwood"/>
    <s v="000.000.373-00"/>
    <n v="47"/>
    <m/>
    <s v="Braavos"/>
    <x v="1"/>
    <n v="11600"/>
    <n v="63500"/>
    <n v="18"/>
    <s v="Médio"/>
    <s v="N"/>
    <n v="3000"/>
    <s v="Aprovado"/>
    <x v="0"/>
    <n v="240"/>
  </r>
  <r>
    <s v="Ativo"/>
    <s v="Brienne Dondarrion"/>
    <s v="000.000.256-00"/>
    <n v="39"/>
    <d v="1987-02-06T00:00:00"/>
    <s v="Ilha dos Ursos"/>
    <x v="9"/>
    <n v="9300"/>
    <n v="36500"/>
    <m/>
    <s v="Baixo"/>
    <s v="N"/>
    <n v="3000"/>
    <s v="Aprovado"/>
    <x v="0"/>
    <n v="240"/>
  </r>
  <r>
    <s v="Ativo"/>
    <s v="Rickon Redwyne"/>
    <s v="000.000.150-00"/>
    <n v="73"/>
    <d v="1953-08-17T00:00:00"/>
    <s v="Fosso Cailin"/>
    <x v="9"/>
    <n v="28600"/>
    <n v="40500"/>
    <n v="20"/>
    <s v="Médio"/>
    <s v="N"/>
    <n v="2500"/>
    <s v="Aprovado"/>
    <x v="0"/>
    <n v="200"/>
  </r>
  <r>
    <s v="Ativo"/>
    <s v="Meera Tarly"/>
    <s v="000.000.326-00"/>
    <n v="74"/>
    <d v="1952-06-23T00:00:00"/>
    <s v="Pyke"/>
    <x v="5"/>
    <n v="25000"/>
    <n v="0"/>
    <n v="3"/>
    <s v="Baixo"/>
    <s v="N"/>
    <n v="2500"/>
    <s v="Aprovado"/>
    <x v="0"/>
    <n v="200"/>
  </r>
  <r>
    <s v="Inativo"/>
    <s v="Roose Frey"/>
    <s v="000.000.292-00"/>
    <n v="62"/>
    <d v="1963-12-13T00:00:00"/>
    <s v="Jardim de Cima"/>
    <x v="7"/>
    <n v="14600"/>
    <n v="15500"/>
    <n v="2"/>
    <s v="Baixo"/>
    <m/>
    <n v="2500"/>
    <s v="Inativo"/>
    <x v="1"/>
    <n v="0"/>
  </r>
  <r>
    <s v="Ativo"/>
    <s v="Ellaria Swyft"/>
    <s v="000.000.115-00"/>
    <n v="72"/>
    <d v="1954-04-25T00:00:00"/>
    <s v="Ninho da Águia"/>
    <x v="10"/>
    <n v="3900"/>
    <n v="27000"/>
    <n v="33"/>
    <s v="Alto"/>
    <s v="N"/>
    <n v="2000"/>
    <s v="Aprovado"/>
    <x v="0"/>
    <n v="160"/>
  </r>
  <r>
    <s v="Inativo"/>
    <s v="Viserys Seaworth"/>
    <s v="000.000.024-00"/>
    <n v="61"/>
    <d v="1964-10-17T00:00:00"/>
    <s v="Meereen"/>
    <x v="1"/>
    <n v="23000"/>
    <n v="44500"/>
    <n v="32"/>
    <s v="Alto"/>
    <s v="S"/>
    <n v="2000"/>
    <s v="Inativo"/>
    <x v="1"/>
    <n v="0"/>
  </r>
  <r>
    <s v="Inativo"/>
    <s v="Renly Blackwood"/>
    <s v="000.000.106-00"/>
    <n v="20"/>
    <d v="2005-12-18T00:00:00"/>
    <s v="Solar do Entardecer"/>
    <x v="4"/>
    <n v="12900"/>
    <n v="26500"/>
    <n v="13"/>
    <s v="Médio"/>
    <s v="N"/>
    <n v="2000"/>
    <s v="Inativo"/>
    <x v="1"/>
    <n v="0"/>
  </r>
  <r>
    <s v="Inativo"/>
    <s v="Aegon Umber"/>
    <s v="000.000.356-00"/>
    <n v="66"/>
    <d v="1960-07-04T00:00:00"/>
    <s v="Meereen"/>
    <x v="1"/>
    <n v="16800"/>
    <n v="79500"/>
    <n v="36"/>
    <s v="Alto"/>
    <s v="N"/>
    <n v="1500"/>
    <s v="Inativo"/>
    <x v="1"/>
    <n v="0"/>
  </r>
  <r>
    <s v="Inativo"/>
    <s v="Viserys Baratheon"/>
    <s v="000.000.186-00"/>
    <n v="33"/>
    <d v="1992-12-17T00:00:00"/>
    <s v="Winterfell"/>
    <x v="9"/>
    <n v="25700"/>
    <n v="35000"/>
    <n v="40"/>
    <s v="Alto"/>
    <s v="N"/>
    <n v="1000"/>
    <s v="Inativo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42DFC-5AF4-45A2-A09C-98F47A368E2F}" name="Tabela dinâ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6:B16" firstHeaderRow="1" firstDataRow="1" firstDataCol="1" rowPageCount="1" colPageCount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3">
        <item m="1" x="11"/>
        <item x="7"/>
        <item x="6"/>
        <item x="1"/>
        <item x="8"/>
        <item x="5"/>
        <item x="9"/>
        <item x="3"/>
        <item x="2"/>
        <item x="4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multipleItemSelectionAllowed="1" showAll="0">
      <items count="5">
        <item x="2"/>
        <item h="1" m="1" x="3"/>
        <item h="1" x="0"/>
        <item h="1" x="1"/>
        <item t="default"/>
      </items>
    </pivotField>
    <pivotField compact="0" numFmtId="164" outline="0" showAll="0"/>
  </pivotFields>
  <rowFields count="1">
    <field x="6"/>
  </rowFields>
  <rowItems count="10">
    <i>
      <x v="2"/>
    </i>
    <i>
      <x v="8"/>
    </i>
    <i>
      <x v="10"/>
    </i>
    <i>
      <x v="1"/>
    </i>
    <i>
      <x v="3"/>
    </i>
    <i>
      <x v="6"/>
    </i>
    <i>
      <x v="9"/>
    </i>
    <i>
      <x v="5"/>
    </i>
    <i>
      <x v="4"/>
    </i>
    <i t="grand">
      <x/>
    </i>
  </rowItems>
  <colItems count="1">
    <i/>
  </colItems>
  <pageFields count="1">
    <pageField fld="14" hier="-1"/>
  </pageFields>
  <dataFields count="1">
    <dataField name="Soma de valor_solicitado" fld="12" baseField="0" baseItem="0" numFmtId="164"/>
  </dataFields>
  <formats count="1">
    <format dxfId="69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B86FA7-6A12-48B1-B0FB-8F2767C8C45D}" name="Tabela1" displayName="Tabela1" ref="A2:E6" totalsRowShown="0" headerRowDxfId="68" tableBorderDxfId="67">
  <autoFilter ref="A2:E6" xr:uid="{E4B86FA7-6A12-48B1-B0FB-8F2767C8C45D}"/>
  <sortState xmlns:xlrd2="http://schemas.microsoft.com/office/spreadsheetml/2017/richdata2" ref="A3:E6">
    <sortCondition ref="A2:A6"/>
  </sortState>
  <tableColumns count="5">
    <tableColumn id="1" xr3:uid="{BF19A0F9-992E-4237-B325-6C9C93CEF1A1}" name="ID_Produto" dataDxfId="66"/>
    <tableColumn id="2" xr3:uid="{4D2A8EB1-8531-42C2-B65A-00DB8BD6B3B0}" name="Tipo_de_Cafe"/>
    <tableColumn id="3" xr3:uid="{C947B6FC-BEDA-42BC-99A0-4E6EBA54F433}" name="Tamanho"/>
    <tableColumn id="4" xr3:uid="{80DA0F6E-59C8-4FD4-A31F-67A4EB710639}" name="Valor_unitario" dataDxfId="65"/>
    <tableColumn id="5" xr3:uid="{1267EBCE-7283-420E-9607-3992EAE0951A}" name="Quantidad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B2F0B8-C718-46F3-9CDB-234A838BB42B}" name="Tabela28" displayName="Tabela28" ref="A2:D8" totalsRowShown="0" headerRowDxfId="64" dataDxfId="63">
  <autoFilter ref="A2:D8" xr:uid="{6EB2F0B8-C718-46F3-9CDB-234A838BB42B}"/>
  <sortState xmlns:xlrd2="http://schemas.microsoft.com/office/spreadsheetml/2017/richdata2" ref="A3:D8">
    <sortCondition ref="C2:C8"/>
  </sortState>
  <tableColumns count="4">
    <tableColumn id="1" xr3:uid="{9BE70103-4C74-47F6-AB0C-7579AD2E1472}" name="Funcionario" dataDxfId="62"/>
    <tableColumn id="2" xr3:uid="{D74638DB-4D70-4EDF-82FE-58FF749CDB9A}" name="Produto" dataDxfId="61"/>
    <tableColumn id="3" xr3:uid="{600BDBF8-AC44-4006-B6C8-9283663AC057}" name="Vendas" dataDxfId="60"/>
    <tableColumn id="4" xr3:uid="{AF8118A3-F4BA-4823-A3ED-FFD23D87790C}" name="Resultado" dataDxfId="59">
      <calculatedColumnFormula>IF(C3&gt;5, "Ótimo", IF(C3&lt;5, "Péssimo", "Regular"))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D98117-0EA0-450A-ACC7-49D83A4AC4F9}" name="Tabela3" displayName="Tabela3" ref="A2:G7" totalsRowShown="0" headerRowDxfId="54">
  <autoFilter ref="A2:G7" xr:uid="{1AD98117-0EA0-450A-ACC7-49D83A4AC4F9}"/>
  <tableColumns count="7">
    <tableColumn id="1" xr3:uid="{3E7B71CC-CDD2-4044-8ADD-6F5C40726672}" name="RA"/>
    <tableColumn id="2" xr3:uid="{84B1986B-FBA0-4002-A1CA-631674ECAE63}" name="Nome de Aluno" dataDxfId="53"/>
    <tableColumn id="3" xr3:uid="{278BA347-0974-44C1-B76E-6B243999C1DC}" name="Nota 1 Trimestre"/>
    <tableColumn id="4" xr3:uid="{74C5BA5F-7BFC-4046-B09A-AC85CBC04180}" name="Nota 2 Trimestre"/>
    <tableColumn id="5" xr3:uid="{2FC14D17-90A8-4C0F-A198-CC543A9205DC}" name="Nota 3 Trimestre"/>
    <tableColumn id="6" xr3:uid="{EC74B217-C895-4BD9-B863-B8433DB5A23D}" name="Média Final" dataDxfId="52">
      <calculatedColumnFormula>AVERAGE(C3:E3)</calculatedColumnFormula>
    </tableColumn>
    <tableColumn id="7" xr3:uid="{5DB3DC30-0273-4B72-8601-ECD92813E071}" name="Resultado" dataDxfId="51">
      <calculatedColumnFormula>IF(F3&gt;6,"Aprovado","Reprovado")</calculatedColumnFormula>
    </tableColumn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964575-794C-4AC6-90C7-AD4E674418A5}" name="Tabela4" displayName="Tabela4" ref="A1:F6" totalsRowShown="0" headerRowDxfId="48">
  <autoFilter ref="A1:F6" xr:uid="{BB964575-794C-4AC6-90C7-AD4E674418A5}"/>
  <tableColumns count="6">
    <tableColumn id="1" xr3:uid="{95C98894-1749-462E-93B3-007B4A813FF1}" name="Nome"/>
    <tableColumn id="2" xr3:uid="{2561A65C-15D4-49C4-B8A3-EF6C34C039F9}" name="Idade" dataDxfId="47"/>
    <tableColumn id="3" xr3:uid="{9AC0298A-7C16-45F9-96A6-5CFBC08A3EEA}" name="Ensino Médio" dataDxfId="46"/>
    <tableColumn id="4" xr3:uid="{A98026F8-D3C1-4FB7-8B88-405722B51F56}" name="Curso técnico" dataDxfId="45"/>
    <tableColumn id="5" xr3:uid="{C0B48D59-B1F2-4633-9E81-411328848BFC}" name="Anos de experiência na área" dataDxfId="44"/>
    <tableColumn id="6" xr3:uid="{289D1CC6-605D-4FD6-AEE0-3FD16CB6C13C}" name="Situação" dataDxfId="43">
      <calculatedColumnFormula>IF(AND(B2&gt;=18, E2&gt;=3, OR(C2="Sim", D2="Sim")),"Apto","Não apto")</calculatedColumnFormula>
    </tableColumn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5FC42A-FD87-47EE-A971-A9E62AF6741B}" name="Table1" displayName="Table1" ref="A1:P402" totalsRowShown="0" headerRowDxfId="37">
  <autoFilter ref="A1:P402" xr:uid="{8F5FC42A-FD87-47EE-A971-A9E62AF6741B}"/>
  <sortState xmlns:xlrd2="http://schemas.microsoft.com/office/spreadsheetml/2017/richdata2" ref="A2:P402">
    <sortCondition descending="1" ref="M1:M402"/>
  </sortState>
  <tableColumns count="16">
    <tableColumn id="1" xr3:uid="{19C0093F-84C9-4194-8990-503C6D75AA1F}" name="status" dataDxfId="36"/>
    <tableColumn id="2" xr3:uid="{B6B5FBDA-73F4-4410-B28E-563C77C7C940}" name="nome" dataDxfId="35"/>
    <tableColumn id="3" xr3:uid="{BE05CBBD-D4D6-40C1-B4C3-05E513EE745F}" name="cpf" dataDxfId="34"/>
    <tableColumn id="4" xr3:uid="{1BBC7970-4597-4381-8F64-16C326FED745}" name="idade" dataDxfId="33"/>
    <tableColumn id="5" xr3:uid="{6084F8F9-AD56-4390-8C06-F8F8AC4510FC}" name="data_nascimento" dataDxfId="32"/>
    <tableColumn id="6" xr3:uid="{AC6D61C1-26DE-4F56-9585-05F6F26904B6}" name="cidade"/>
    <tableColumn id="7" xr3:uid="{BCD76535-F627-4742-BB7F-C10FEB025372}" name="regiao"/>
    <tableColumn id="8" xr3:uid="{8A731C79-9153-4DCA-BD98-8510AEFD8440}" name="renda_mensal" dataDxfId="31"/>
    <tableColumn id="9" xr3:uid="{096121B8-3613-4EE7-A1EB-D920303E5D12}" name="credito_tomado" dataDxfId="30"/>
    <tableColumn id="10" xr3:uid="{C9D1C526-7354-4100-B447-F9963A6068B1}" name="qtde_batalhas" dataDxfId="29"/>
    <tableColumn id="11" xr3:uid="{39D6730E-F10B-4F1B-B4F0-B7A76072E4E4}" name="nivel_risco" dataDxfId="28">
      <calculatedColumnFormula>IF(J2&lt;=10, "Baixo", IF(J2&lt;=25, "Médio", "Alto"))</calculatedColumnFormula>
    </tableColumn>
    <tableColumn id="12" xr3:uid="{26339E8A-5513-45AD-B4D0-3A077DA543FB}" name="flag_inadimplente" dataDxfId="27"/>
    <tableColumn id="13" xr3:uid="{D55A08E9-7B58-484C-A12C-DE98BADDE825}" name="valor_solicitado" dataDxfId="26"/>
    <tableColumn id="14" xr3:uid="{77D72FF1-31B2-4482-8503-828B86F21757}" name="primeira_analise" dataDxfId="25">
      <calculatedColumnFormula>IF(A2="Inativo", "Inativo", IF(A2="", "Negado", IF(COUNTIF(C:C, C2)&gt;1, "Negado", IF(AND(K2="Alto", L2="S"), "Negado", "Aprovado"))))</calculatedColumnFormula>
    </tableColumn>
    <tableColumn id="15" xr3:uid="{765B2E0D-EBB8-4763-9107-43633C10CFF9}" name="segunda_analise" dataDxfId="24">
      <calculatedColumnFormula>IF(A2="Inativo", "Inativo", IF(A2="", "Negado", IF(COUNTIF(C:C, C2)&gt;1, "Negado", IF(AND(I2&gt;50000, L2="S"), "Negado", "Aprovado"))))</calculatedColumnFormula>
    </tableColumn>
    <tableColumn id="16" xr3:uid="{3C4C688F-97AF-4903-80B6-1D822E8AC715}" name="liberacao_de_credito" dataDxfId="23">
      <calculatedColumnFormula>IF(OR(N2="Negado", O2="Negado", A2="", L2=""), 0, IF(A2="Ativo", M2*0.08, 0))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60CFA-BC35-4E14-877C-6595A856382E}" name="Tabela2" displayName="Tabela2" ref="A1:G12" totalsRowShown="0" headerRowDxfId="21" dataDxfId="20" headerRowBorderDxfId="18" tableBorderDxfId="19" totalsRowBorderDxfId="17">
  <autoFilter ref="A1:G12" xr:uid="{07460CFA-BC35-4E14-877C-6595A856382E}"/>
  <tableColumns count="7">
    <tableColumn id="1" xr3:uid="{C4247CE7-815D-462C-8ECE-866D68E38CF1}" name="Coluna analisada" dataDxfId="16"/>
    <tableColumn id="2" xr3:uid="{124AD6A1-63A2-4B16-BD23-29207EF98AD4}" name="Problema encontrado" dataDxfId="15"/>
    <tableColumn id="3" xr3:uid="{7537D5CD-B9A7-442E-9043-110D2D0E09F5}" name="Exemplo encontrado" dataDxfId="14"/>
    <tableColumn id="4" xr3:uid="{B6993324-DEF4-484A-9FBB-FE63E2BD2B43}" name="Tipo de problema" dataDxfId="13"/>
    <tableColumn id="5" xr3:uid="{EE09C61C-AA7F-4E02-B5CC-2CBC4CAA782C}" name="Ação realizada" dataDxfId="12"/>
    <tableColumn id="6" xr3:uid="{7965ACF4-DDFD-47AC-BA4D-D58F343032A7}" name="Resultado esperado" dataDxfId="11"/>
    <tableColumn id="7" xr3:uid="{7428DBB3-E7A6-48C1-859B-52744155A9E0}" name="Decisão" dataDxfId="10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62CDB4-3F4B-455D-80C7-66AC613CB34C}" name="Tabela5" displayName="Tabela5" ref="A1:E2" totalsRowShown="0" headerRowDxfId="9" dataDxfId="8" headerRowBorderDxfId="6" tableBorderDxfId="7" totalsRowBorderDxfId="5">
  <autoFilter ref="A1:E2" xr:uid="{6062CDB4-3F4B-455D-80C7-66AC613CB34C}"/>
  <tableColumns count="5">
    <tableColumn id="1" xr3:uid="{A1CF3F94-035A-474F-85AF-71BDA80AC2C7}" name="Pergunta de análise" dataDxfId="4"/>
    <tableColumn id="2" xr3:uid="{F9A5AC5C-8493-438E-9890-6737F507B924}" name="Tipo de dado" dataDxfId="3"/>
    <tableColumn id="3" xr3:uid="{0DBA7A43-B877-4303-8505-E52987010610}" name="Indicador ou cálculo" dataDxfId="2"/>
    <tableColumn id="4" xr3:uid="{9A849815-AB78-4BD3-8196-16748B0AF48B}" name="Gráfico" dataDxfId="1"/>
    <tableColumn id="5" xr3:uid="{DE99D259-B488-49B0-83C4-CCB02C5DC583}" name="Insigh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D074-593B-4543-83C8-CF310635EAF6}">
  <dimension ref="A1:E6"/>
  <sheetViews>
    <sheetView workbookViewId="0">
      <selection activeCell="A3" sqref="A3:A6"/>
    </sheetView>
  </sheetViews>
  <sheetFormatPr defaultRowHeight="15"/>
  <cols>
    <col min="1" max="1" width="13.7109375" bestFit="1" customWidth="1"/>
    <col min="2" max="2" width="15.7109375" bestFit="1" customWidth="1"/>
    <col min="3" max="3" width="11.85546875" bestFit="1" customWidth="1"/>
    <col min="4" max="4" width="16.42578125" bestFit="1" customWidth="1"/>
    <col min="5" max="5" width="14" bestFit="1" customWidth="1"/>
  </cols>
  <sheetData>
    <row r="1" spans="1:5" ht="15.75">
      <c r="A1" s="50" t="s">
        <v>0</v>
      </c>
      <c r="B1" s="51"/>
      <c r="C1" s="51"/>
      <c r="D1" s="51"/>
      <c r="E1" s="51"/>
    </row>
    <row r="2" spans="1:5">
      <c r="A2" s="42" t="s">
        <v>1</v>
      </c>
      <c r="B2" s="42" t="s">
        <v>2</v>
      </c>
      <c r="C2" s="42" t="s">
        <v>3</v>
      </c>
      <c r="D2" s="42" t="s">
        <v>4</v>
      </c>
      <c r="E2" s="42" t="s">
        <v>5</v>
      </c>
    </row>
    <row r="3" spans="1:5">
      <c r="A3" s="5">
        <v>1</v>
      </c>
      <c r="B3" t="s">
        <v>6</v>
      </c>
      <c r="C3" t="s">
        <v>7</v>
      </c>
      <c r="D3" s="2">
        <v>3.8849999999999998</v>
      </c>
      <c r="E3">
        <v>10</v>
      </c>
    </row>
    <row r="4" spans="1:5">
      <c r="A4" s="5">
        <v>2</v>
      </c>
      <c r="B4" t="s">
        <v>6</v>
      </c>
      <c r="C4" t="s">
        <v>7</v>
      </c>
      <c r="D4" s="2">
        <v>29.785</v>
      </c>
      <c r="E4">
        <v>10</v>
      </c>
    </row>
    <row r="5" spans="1:5">
      <c r="A5" s="5">
        <v>3</v>
      </c>
      <c r="B5" t="s">
        <v>8</v>
      </c>
      <c r="C5" t="s">
        <v>9</v>
      </c>
      <c r="D5" s="2">
        <v>3.375</v>
      </c>
      <c r="E5">
        <v>10</v>
      </c>
    </row>
    <row r="6" spans="1:5">
      <c r="A6" s="5">
        <v>4</v>
      </c>
      <c r="B6" t="s">
        <v>10</v>
      </c>
      <c r="C6" t="s">
        <v>11</v>
      </c>
      <c r="D6" s="2">
        <v>13.425000000000001</v>
      </c>
      <c r="E6">
        <v>10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9C15-B2C2-4FDE-AD26-275FB90165E3}">
  <dimension ref="A1:D8"/>
  <sheetViews>
    <sheetView workbookViewId="0">
      <selection activeCell="E1" sqref="E1"/>
    </sheetView>
  </sheetViews>
  <sheetFormatPr defaultColWidth="18" defaultRowHeight="15"/>
  <sheetData>
    <row r="1" spans="1:4" ht="15.75">
      <c r="A1" s="52" t="s">
        <v>12</v>
      </c>
      <c r="B1" s="52"/>
      <c r="C1" s="52"/>
      <c r="D1" s="52"/>
    </row>
    <row r="2" spans="1:4">
      <c r="A2" s="5" t="s">
        <v>13</v>
      </c>
      <c r="B2" s="5" t="s">
        <v>14</v>
      </c>
      <c r="C2" s="5" t="s">
        <v>15</v>
      </c>
      <c r="D2" s="5" t="s">
        <v>16</v>
      </c>
    </row>
    <row r="3" spans="1:4">
      <c r="A3" s="5" t="s">
        <v>17</v>
      </c>
      <c r="B3" s="5" t="s">
        <v>18</v>
      </c>
      <c r="C3" s="5">
        <v>3</v>
      </c>
      <c r="D3" s="5" t="str">
        <f>IF(C3&gt;5, "Ótimo", IF(C3&lt;5, "Péssimo", "Regular"))</f>
        <v>Péssimo</v>
      </c>
    </row>
    <row r="4" spans="1:4">
      <c r="A4" s="5" t="s">
        <v>19</v>
      </c>
      <c r="B4" s="5" t="s">
        <v>20</v>
      </c>
      <c r="C4" s="5">
        <v>4</v>
      </c>
      <c r="D4" s="5" t="str">
        <f>IF(C4&gt;5, "Ótimo", IF(C4&lt;5, "Péssimo", "Regular"))</f>
        <v>Péssimo</v>
      </c>
    </row>
    <row r="5" spans="1:4">
      <c r="A5" s="5" t="s">
        <v>21</v>
      </c>
      <c r="B5" s="5" t="s">
        <v>22</v>
      </c>
      <c r="C5" s="5">
        <v>5</v>
      </c>
      <c r="D5" s="5" t="str">
        <f>IF(C5&gt;5, "Ótimo", IF(C5&lt;5, "Péssimo", "Regular"))</f>
        <v>Regular</v>
      </c>
    </row>
    <row r="6" spans="1:4">
      <c r="A6" s="5" t="s">
        <v>23</v>
      </c>
      <c r="B6" s="5" t="s">
        <v>24</v>
      </c>
      <c r="C6" s="5">
        <v>6</v>
      </c>
      <c r="D6" s="5" t="str">
        <f>IF(C6&gt;5, "Ótimo", IF(C6&lt;5, "Péssimo", "Regular"))</f>
        <v>Ótimo</v>
      </c>
    </row>
    <row r="7" spans="1:4">
      <c r="A7" s="5" t="s">
        <v>25</v>
      </c>
      <c r="B7" s="5" t="s">
        <v>26</v>
      </c>
      <c r="C7" s="5">
        <v>8</v>
      </c>
      <c r="D7" s="5" t="str">
        <f>IF(C7&gt;5, "Ótimo", IF(C7&lt;5, "Péssimo", "Regular"))</f>
        <v>Ótimo</v>
      </c>
    </row>
    <row r="8" spans="1:4">
      <c r="A8" s="5" t="s">
        <v>27</v>
      </c>
      <c r="B8" s="5" t="s">
        <v>28</v>
      </c>
      <c r="C8" s="5">
        <v>9</v>
      </c>
      <c r="D8" s="5" t="str">
        <f>IF(C8&gt;5, "Ótimo", IF(C8&lt;5, "Péssimo", "Regular"))</f>
        <v>Ótimo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2339-EE1F-4ADA-BF5D-88C393EBD9F5}">
  <dimension ref="A1:G7"/>
  <sheetViews>
    <sheetView workbookViewId="0">
      <selection activeCell="C11" sqref="C11"/>
    </sheetView>
  </sheetViews>
  <sheetFormatPr defaultRowHeight="15"/>
  <cols>
    <col min="1" max="1" width="8.7109375" customWidth="1"/>
    <col min="2" max="2" width="17.42578125" bestFit="1" customWidth="1"/>
    <col min="3" max="5" width="18.5703125" bestFit="1" customWidth="1"/>
    <col min="6" max="6" width="13.85546875" bestFit="1" customWidth="1"/>
    <col min="7" max="7" width="12.28515625" bestFit="1" customWidth="1"/>
  </cols>
  <sheetData>
    <row r="1" spans="1:7" ht="15.75">
      <c r="A1" s="53" t="s">
        <v>29</v>
      </c>
      <c r="B1" s="53"/>
      <c r="C1" s="53"/>
      <c r="D1" s="53"/>
      <c r="E1" s="53"/>
      <c r="F1" s="53"/>
      <c r="G1" s="53"/>
    </row>
    <row r="2" spans="1:7">
      <c r="A2" s="43" t="s">
        <v>30</v>
      </c>
      <c r="B2" s="43" t="s">
        <v>31</v>
      </c>
      <c r="C2" s="43" t="s">
        <v>32</v>
      </c>
      <c r="D2" s="44" t="s">
        <v>33</v>
      </c>
      <c r="E2" s="44" t="s">
        <v>34</v>
      </c>
      <c r="F2" s="43" t="s">
        <v>35</v>
      </c>
      <c r="G2" s="43" t="s">
        <v>16</v>
      </c>
    </row>
    <row r="3" spans="1:7">
      <c r="A3">
        <v>2001</v>
      </c>
      <c r="B3" s="1" t="s">
        <v>36</v>
      </c>
      <c r="C3">
        <v>5</v>
      </c>
      <c r="D3">
        <v>6</v>
      </c>
      <c r="E3">
        <v>8</v>
      </c>
      <c r="F3" s="45">
        <f>AVERAGE(C3:E3)</f>
        <v>6.333333333333333</v>
      </c>
      <c r="G3" s="5" t="str">
        <f>IF(F3&gt;6,"Aprovado","Reprovado")</f>
        <v>Aprovado</v>
      </c>
    </row>
    <row r="4" spans="1:7">
      <c r="A4">
        <v>2002</v>
      </c>
      <c r="B4" s="1" t="s">
        <v>37</v>
      </c>
      <c r="C4">
        <v>10</v>
      </c>
      <c r="D4">
        <v>7</v>
      </c>
      <c r="E4">
        <v>8</v>
      </c>
      <c r="F4" s="45">
        <f t="shared" ref="F4:F7" si="0">AVERAGE(C4:E4)</f>
        <v>8.3333333333333339</v>
      </c>
      <c r="G4" s="5" t="str">
        <f>IF(F4&gt;6,"Aprovado","Reprovado")</f>
        <v>Aprovado</v>
      </c>
    </row>
    <row r="5" spans="1:7">
      <c r="A5">
        <v>2003</v>
      </c>
      <c r="B5" s="1" t="s">
        <v>38</v>
      </c>
      <c r="C5">
        <v>5</v>
      </c>
      <c r="D5">
        <v>2</v>
      </c>
      <c r="E5">
        <v>8</v>
      </c>
      <c r="F5" s="45">
        <f t="shared" si="0"/>
        <v>5</v>
      </c>
      <c r="G5" s="5" t="str">
        <f>IF(F5&gt;6,"Aprovado","Reprovado")</f>
        <v>Reprovado</v>
      </c>
    </row>
    <row r="6" spans="1:7">
      <c r="A6">
        <v>2004</v>
      </c>
      <c r="B6" s="1" t="s">
        <v>39</v>
      </c>
      <c r="C6">
        <v>2</v>
      </c>
      <c r="D6">
        <v>1</v>
      </c>
      <c r="E6">
        <v>3</v>
      </c>
      <c r="F6" s="45">
        <f t="shared" si="0"/>
        <v>2</v>
      </c>
      <c r="G6" s="5" t="str">
        <f>IF(F6&gt;6,"Aprovado","Reprovado")</f>
        <v>Reprovado</v>
      </c>
    </row>
    <row r="7" spans="1:7">
      <c r="A7">
        <v>2005</v>
      </c>
      <c r="B7" s="1" t="s">
        <v>40</v>
      </c>
      <c r="C7">
        <v>4</v>
      </c>
      <c r="D7">
        <v>7</v>
      </c>
      <c r="E7">
        <v>8</v>
      </c>
      <c r="F7" s="45">
        <f t="shared" si="0"/>
        <v>6.333333333333333</v>
      </c>
      <c r="G7" s="5" t="str">
        <f>IF(F7&gt;6,"Aprovado","Reprovado")</f>
        <v>Aprovado</v>
      </c>
    </row>
  </sheetData>
  <mergeCells count="1">
    <mergeCell ref="A1:G1"/>
  </mergeCells>
  <conditionalFormatting sqref="C3:F7">
    <cfRule type="cellIs" dxfId="58" priority="4" operator="lessThan">
      <formula>6</formula>
    </cfRule>
  </conditionalFormatting>
  <conditionalFormatting sqref="C3:F7">
    <cfRule type="cellIs" dxfId="57" priority="3" operator="greaterThanOrEqual">
      <formula>6</formula>
    </cfRule>
  </conditionalFormatting>
  <conditionalFormatting sqref="G3:G7">
    <cfRule type="containsText" dxfId="56" priority="2" operator="containsText" text="Aprovado">
      <formula>NOT(ISERROR(SEARCH("Aprovado",G3)))</formula>
    </cfRule>
    <cfRule type="containsText" dxfId="55" priority="1" operator="containsText" text="Reprovado">
      <formula>NOT(ISERROR(SEARCH("Reprovado",G3)))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7596-0B1E-4E82-9E77-8F4264DBCC37}">
  <dimension ref="A1:F14"/>
  <sheetViews>
    <sheetView workbookViewId="0">
      <selection activeCell="E12" sqref="E12"/>
    </sheetView>
  </sheetViews>
  <sheetFormatPr defaultRowHeight="15"/>
  <cols>
    <col min="1" max="1" width="20.42578125" bestFit="1" customWidth="1"/>
    <col min="2" max="2" width="8.42578125" bestFit="1" customWidth="1"/>
    <col min="3" max="3" width="15.7109375" bestFit="1" customWidth="1"/>
    <col min="4" max="4" width="15.28515625" bestFit="1" customWidth="1"/>
    <col min="5" max="5" width="29" bestFit="1" customWidth="1"/>
    <col min="6" max="6" width="11" bestFit="1" customWidth="1"/>
  </cols>
  <sheetData>
    <row r="1" spans="1:6">
      <c r="A1" s="46" t="s">
        <v>41</v>
      </c>
      <c r="B1" s="46" t="s">
        <v>42</v>
      </c>
      <c r="C1" s="46" t="s">
        <v>43</v>
      </c>
      <c r="D1" s="46" t="s">
        <v>44</v>
      </c>
      <c r="E1" s="46" t="s">
        <v>45</v>
      </c>
      <c r="F1" s="46" t="s">
        <v>46</v>
      </c>
    </row>
    <row r="2" spans="1:6">
      <c r="A2" t="s">
        <v>47</v>
      </c>
      <c r="B2" s="5">
        <v>17</v>
      </c>
      <c r="C2" s="5" t="s">
        <v>48</v>
      </c>
      <c r="D2" s="5" t="s">
        <v>49</v>
      </c>
      <c r="E2" s="5">
        <v>1</v>
      </c>
      <c r="F2" s="47" t="str">
        <f t="shared" ref="F2:F6" si="0">IF(AND(B2&gt;=18, E2&gt;=3, OR(C2="Sim", D2="Sim")),"Apto","Não apto")</f>
        <v>Não apto</v>
      </c>
    </row>
    <row r="3" spans="1:6">
      <c r="A3" t="s">
        <v>50</v>
      </c>
      <c r="B3" s="5">
        <v>24</v>
      </c>
      <c r="C3" s="5" t="s">
        <v>49</v>
      </c>
      <c r="D3" s="5" t="s">
        <v>49</v>
      </c>
      <c r="E3" s="5">
        <v>3</v>
      </c>
      <c r="F3" s="47" t="str">
        <f t="shared" si="0"/>
        <v>Apto</v>
      </c>
    </row>
    <row r="4" spans="1:6">
      <c r="A4" t="s">
        <v>51</v>
      </c>
      <c r="B4" s="5">
        <v>28</v>
      </c>
      <c r="C4" s="5" t="s">
        <v>49</v>
      </c>
      <c r="D4" s="5" t="s">
        <v>49</v>
      </c>
      <c r="E4" s="5">
        <v>4</v>
      </c>
      <c r="F4" s="47" t="str">
        <f t="shared" si="0"/>
        <v>Apto</v>
      </c>
    </row>
    <row r="5" spans="1:6">
      <c r="A5" t="s">
        <v>52</v>
      </c>
      <c r="B5" s="5">
        <v>18</v>
      </c>
      <c r="C5" s="5" t="s">
        <v>49</v>
      </c>
      <c r="D5" s="5" t="s">
        <v>48</v>
      </c>
      <c r="E5" s="5">
        <v>1</v>
      </c>
      <c r="F5" s="47" t="str">
        <f t="shared" si="0"/>
        <v>Não apto</v>
      </c>
    </row>
    <row r="6" spans="1:6">
      <c r="A6" t="s">
        <v>53</v>
      </c>
      <c r="B6" s="5">
        <v>22</v>
      </c>
      <c r="C6" s="5" t="s">
        <v>49</v>
      </c>
      <c r="D6" s="5" t="s">
        <v>49</v>
      </c>
      <c r="E6" s="5">
        <v>2</v>
      </c>
      <c r="F6" s="47" t="str">
        <f t="shared" si="0"/>
        <v>Não apto</v>
      </c>
    </row>
    <row r="10" spans="1:6" ht="15.75">
      <c r="A10" s="54" t="s">
        <v>54</v>
      </c>
      <c r="B10" s="54"/>
      <c r="C10" s="54"/>
    </row>
    <row r="11" spans="1:6">
      <c r="A11" s="55" t="s">
        <v>55</v>
      </c>
      <c r="B11" s="55"/>
      <c r="C11" s="55"/>
    </row>
    <row r="12" spans="1:6">
      <c r="A12" s="56" t="s">
        <v>56</v>
      </c>
      <c r="B12" s="56"/>
      <c r="C12" s="56"/>
    </row>
    <row r="13" spans="1:6">
      <c r="A13" s="55" t="s">
        <v>57</v>
      </c>
      <c r="B13" s="55"/>
      <c r="C13" s="55"/>
    </row>
    <row r="14" spans="1:6">
      <c r="A14" s="56" t="s">
        <v>58</v>
      </c>
      <c r="B14" s="56"/>
      <c r="C14" s="56"/>
    </row>
  </sheetData>
  <mergeCells count="5">
    <mergeCell ref="A10:C10"/>
    <mergeCell ref="A11:C11"/>
    <mergeCell ref="A12:C12"/>
    <mergeCell ref="A13:C13"/>
    <mergeCell ref="A14:C14"/>
  </mergeCells>
  <conditionalFormatting sqref="F1:F1048576">
    <cfRule type="containsText" dxfId="50" priority="2" operator="containsText" text="Apto">
      <formula>NOT(ISERROR(SEARCH("Apto",F1)))</formula>
    </cfRule>
    <cfRule type="containsText" dxfId="49" priority="1" operator="containsText" text="Não apto">
      <formula>NOT(ISERROR(SEARCH("Não apto",F1)))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62B-E525-45A2-9A16-B12E31B441C2}">
  <dimension ref="A1:N403"/>
  <sheetViews>
    <sheetView topLeftCell="C373" workbookViewId="0">
      <selection activeCell="D82" sqref="D82:E82"/>
    </sheetView>
  </sheetViews>
  <sheetFormatPr defaultRowHeight="15"/>
  <cols>
    <col min="1" max="1" width="9.42578125" bestFit="1" customWidth="1"/>
    <col min="2" max="2" width="24.5703125" bestFit="1" customWidth="1"/>
    <col min="3" max="3" width="15" bestFit="1" customWidth="1"/>
    <col min="4" max="4" width="7.85546875" bestFit="1" customWidth="1"/>
    <col min="5" max="5" width="16.42578125" bestFit="1" customWidth="1"/>
    <col min="6" max="6" width="31.85546875" bestFit="1" customWidth="1"/>
    <col min="7" max="7" width="23.42578125" bestFit="1" customWidth="1"/>
    <col min="8" max="8" width="14.140625" bestFit="1" customWidth="1"/>
    <col min="9" max="9" width="15.42578125" bestFit="1" customWidth="1"/>
    <col min="10" max="10" width="17.140625" bestFit="1" customWidth="1"/>
    <col min="11" max="11" width="13.7109375" bestFit="1" customWidth="1"/>
    <col min="12" max="12" width="10.42578125" bestFit="1" customWidth="1"/>
    <col min="13" max="13" width="17.140625" bestFit="1" customWidth="1"/>
    <col min="14" max="14" width="15" bestFit="1" customWidth="1"/>
  </cols>
  <sheetData>
    <row r="1" spans="1:14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68</v>
      </c>
      <c r="N1" t="s">
        <v>71</v>
      </c>
    </row>
    <row r="2" spans="1:14">
      <c r="A2" t="s">
        <v>72</v>
      </c>
      <c r="B2" t="s">
        <v>73</v>
      </c>
      <c r="C2" t="s">
        <v>74</v>
      </c>
      <c r="D2">
        <v>32</v>
      </c>
      <c r="E2" s="12">
        <v>34347</v>
      </c>
      <c r="F2" t="s">
        <v>75</v>
      </c>
      <c r="G2" t="s">
        <v>76</v>
      </c>
      <c r="H2">
        <v>15600</v>
      </c>
      <c r="I2">
        <v>0</v>
      </c>
      <c r="J2" t="s">
        <v>49</v>
      </c>
      <c r="K2">
        <v>34</v>
      </c>
      <c r="M2" t="s">
        <v>49</v>
      </c>
      <c r="N2">
        <v>16000</v>
      </c>
    </row>
    <row r="3" spans="1:14">
      <c r="A3" t="s">
        <v>77</v>
      </c>
      <c r="B3" t="s">
        <v>78</v>
      </c>
      <c r="C3">
        <v>36100</v>
      </c>
      <c r="D3">
        <v>24</v>
      </c>
      <c r="E3" s="12">
        <v>37313</v>
      </c>
      <c r="F3" t="s">
        <v>79</v>
      </c>
      <c r="G3" t="s">
        <v>80</v>
      </c>
      <c r="H3" t="s">
        <v>81</v>
      </c>
      <c r="I3">
        <v>76500</v>
      </c>
      <c r="J3" t="s">
        <v>49</v>
      </c>
      <c r="K3">
        <v>33</v>
      </c>
      <c r="M3" t="s">
        <v>49</v>
      </c>
      <c r="N3">
        <v>26000</v>
      </c>
    </row>
    <row r="4" spans="1:14">
      <c r="A4" t="s">
        <v>72</v>
      </c>
      <c r="B4" t="s">
        <v>82</v>
      </c>
      <c r="C4" t="s">
        <v>83</v>
      </c>
      <c r="D4">
        <v>33</v>
      </c>
      <c r="E4">
        <v>34144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>
        <v>22</v>
      </c>
      <c r="M4" t="s">
        <v>88</v>
      </c>
      <c r="N4">
        <v>51500</v>
      </c>
    </row>
    <row r="5" spans="1:14">
      <c r="A5" t="s">
        <v>72</v>
      </c>
      <c r="B5" t="s">
        <v>89</v>
      </c>
      <c r="C5" t="s">
        <v>90</v>
      </c>
      <c r="D5">
        <v>63</v>
      </c>
      <c r="E5">
        <v>23156</v>
      </c>
      <c r="F5" t="s">
        <v>91</v>
      </c>
      <c r="H5" t="s">
        <v>92</v>
      </c>
      <c r="I5">
        <v>8500</v>
      </c>
      <c r="J5" t="s">
        <v>88</v>
      </c>
      <c r="K5">
        <v>39</v>
      </c>
      <c r="M5" t="s">
        <v>88</v>
      </c>
      <c r="N5">
        <v>36500</v>
      </c>
    </row>
    <row r="6" spans="1:14">
      <c r="A6" t="s">
        <v>72</v>
      </c>
      <c r="B6" t="s">
        <v>93</v>
      </c>
      <c r="C6" t="s">
        <v>94</v>
      </c>
      <c r="D6">
        <v>32</v>
      </c>
      <c r="E6">
        <v>34299</v>
      </c>
      <c r="F6" t="s">
        <v>75</v>
      </c>
      <c r="G6" t="s">
        <v>95</v>
      </c>
      <c r="H6" s="13">
        <v>30000</v>
      </c>
      <c r="J6" t="s">
        <v>48</v>
      </c>
      <c r="K6">
        <v>5</v>
      </c>
      <c r="M6" t="s">
        <v>48</v>
      </c>
      <c r="N6">
        <v>65000</v>
      </c>
    </row>
    <row r="7" spans="1:14">
      <c r="A7" t="s">
        <v>72</v>
      </c>
      <c r="B7" t="s">
        <v>96</v>
      </c>
      <c r="C7" t="s">
        <v>97</v>
      </c>
      <c r="D7">
        <v>48</v>
      </c>
      <c r="E7">
        <v>28647</v>
      </c>
      <c r="F7" t="s">
        <v>98</v>
      </c>
      <c r="H7">
        <v>13200</v>
      </c>
      <c r="I7" t="s">
        <v>99</v>
      </c>
      <c r="J7" t="s">
        <v>48</v>
      </c>
      <c r="K7">
        <v>1</v>
      </c>
      <c r="M7" t="s">
        <v>48</v>
      </c>
      <c r="N7">
        <v>32500</v>
      </c>
    </row>
    <row r="8" spans="1:14">
      <c r="A8" t="s">
        <v>100</v>
      </c>
      <c r="B8" t="s">
        <v>101</v>
      </c>
      <c r="C8" t="s">
        <v>102</v>
      </c>
      <c r="D8">
        <v>28</v>
      </c>
      <c r="E8" s="12">
        <v>35830</v>
      </c>
      <c r="F8" t="s">
        <v>98</v>
      </c>
      <c r="G8" t="s">
        <v>103</v>
      </c>
      <c r="H8" t="s">
        <v>104</v>
      </c>
      <c r="I8" s="13">
        <v>19000</v>
      </c>
      <c r="J8" t="s">
        <v>49</v>
      </c>
      <c r="K8">
        <v>4</v>
      </c>
      <c r="M8" t="s">
        <v>49</v>
      </c>
      <c r="N8">
        <v>32500</v>
      </c>
    </row>
    <row r="9" spans="1:14">
      <c r="A9" t="s">
        <v>77</v>
      </c>
      <c r="B9" t="s">
        <v>105</v>
      </c>
      <c r="C9" t="s">
        <v>106</v>
      </c>
      <c r="D9">
        <v>42</v>
      </c>
      <c r="E9" s="12">
        <v>30810</v>
      </c>
      <c r="F9" t="s">
        <v>107</v>
      </c>
      <c r="G9" t="s">
        <v>108</v>
      </c>
      <c r="H9" t="s">
        <v>109</v>
      </c>
      <c r="I9" t="s">
        <v>110</v>
      </c>
      <c r="J9" t="s">
        <v>48</v>
      </c>
      <c r="K9">
        <v>19</v>
      </c>
      <c r="M9" t="s">
        <v>48</v>
      </c>
      <c r="N9">
        <v>63500</v>
      </c>
    </row>
    <row r="10" spans="1:14">
      <c r="A10" t="s">
        <v>72</v>
      </c>
      <c r="B10" t="s">
        <v>111</v>
      </c>
      <c r="C10" t="s">
        <v>112</v>
      </c>
      <c r="D10">
        <v>34</v>
      </c>
      <c r="E10" s="12">
        <v>33624</v>
      </c>
      <c r="F10" t="s">
        <v>107</v>
      </c>
      <c r="G10" t="s">
        <v>113</v>
      </c>
      <c r="H10">
        <v>8000</v>
      </c>
      <c r="I10" s="14">
        <v>14500</v>
      </c>
      <c r="J10" t="s">
        <v>49</v>
      </c>
      <c r="K10">
        <v>9</v>
      </c>
      <c r="M10" t="s">
        <v>49</v>
      </c>
      <c r="N10">
        <v>17500</v>
      </c>
    </row>
    <row r="11" spans="1:14">
      <c r="A11" t="s">
        <v>77</v>
      </c>
      <c r="B11" t="s">
        <v>114</v>
      </c>
      <c r="C11" t="s">
        <v>115</v>
      </c>
      <c r="D11">
        <v>61</v>
      </c>
      <c r="E11" s="12">
        <v>23667</v>
      </c>
      <c r="F11" t="s">
        <v>116</v>
      </c>
      <c r="G11" t="s">
        <v>117</v>
      </c>
      <c r="H11" t="s">
        <v>118</v>
      </c>
      <c r="I11">
        <v>44500</v>
      </c>
      <c r="J11" t="s">
        <v>49</v>
      </c>
      <c r="K11">
        <v>32</v>
      </c>
      <c r="M11" t="s">
        <v>49</v>
      </c>
      <c r="N11">
        <v>2000</v>
      </c>
    </row>
    <row r="12" spans="1:14">
      <c r="A12" t="s">
        <v>72</v>
      </c>
      <c r="B12" t="s">
        <v>119</v>
      </c>
      <c r="C12" t="s">
        <v>120</v>
      </c>
      <c r="D12">
        <v>33</v>
      </c>
      <c r="E12">
        <v>34147</v>
      </c>
      <c r="F12" t="s">
        <v>116</v>
      </c>
      <c r="G12" t="s">
        <v>117</v>
      </c>
      <c r="H12">
        <v>28700</v>
      </c>
      <c r="I12">
        <v>12500</v>
      </c>
      <c r="J12" t="s">
        <v>48</v>
      </c>
      <c r="K12">
        <v>41</v>
      </c>
      <c r="M12" t="s">
        <v>48</v>
      </c>
      <c r="N12">
        <v>99500</v>
      </c>
    </row>
    <row r="13" spans="1:14">
      <c r="A13" t="s">
        <v>72</v>
      </c>
      <c r="B13" t="s">
        <v>121</v>
      </c>
      <c r="C13">
        <v>35800</v>
      </c>
      <c r="D13">
        <v>70</v>
      </c>
      <c r="E13">
        <v>20515</v>
      </c>
      <c r="F13" t="s">
        <v>122</v>
      </c>
      <c r="G13" t="s">
        <v>117</v>
      </c>
      <c r="H13" t="s">
        <v>123</v>
      </c>
      <c r="I13">
        <v>62000</v>
      </c>
      <c r="J13" t="s">
        <v>49</v>
      </c>
      <c r="K13">
        <v>45</v>
      </c>
      <c r="M13" t="s">
        <v>49</v>
      </c>
      <c r="N13">
        <v>35500</v>
      </c>
    </row>
    <row r="14" spans="1:14">
      <c r="A14" t="s">
        <v>72</v>
      </c>
      <c r="B14" t="s">
        <v>124</v>
      </c>
      <c r="C14" t="s">
        <v>125</v>
      </c>
      <c r="D14">
        <v>54</v>
      </c>
      <c r="E14" s="12">
        <v>26382</v>
      </c>
      <c r="F14" t="s">
        <v>79</v>
      </c>
      <c r="G14" t="s">
        <v>80</v>
      </c>
      <c r="H14">
        <v>22100</v>
      </c>
      <c r="I14">
        <v>37000</v>
      </c>
      <c r="J14" t="s">
        <v>48</v>
      </c>
      <c r="K14">
        <v>34</v>
      </c>
      <c r="M14" t="s">
        <v>48</v>
      </c>
      <c r="N14">
        <v>87000</v>
      </c>
    </row>
    <row r="15" spans="1:14">
      <c r="A15" t="s">
        <v>72</v>
      </c>
      <c r="B15" t="s">
        <v>126</v>
      </c>
      <c r="C15">
        <v>8600</v>
      </c>
      <c r="E15">
        <v>32260</v>
      </c>
      <c r="F15" t="s">
        <v>107</v>
      </c>
      <c r="G15" t="s">
        <v>127</v>
      </c>
      <c r="H15" t="s">
        <v>128</v>
      </c>
      <c r="I15">
        <v>0</v>
      </c>
      <c r="J15" t="s">
        <v>49</v>
      </c>
      <c r="K15">
        <v>31</v>
      </c>
      <c r="M15" t="s">
        <v>49</v>
      </c>
      <c r="N15">
        <v>47500</v>
      </c>
    </row>
    <row r="16" spans="1:14">
      <c r="A16" t="s">
        <v>77</v>
      </c>
      <c r="B16" t="s">
        <v>129</v>
      </c>
      <c r="C16">
        <v>200</v>
      </c>
      <c r="D16">
        <v>55</v>
      </c>
      <c r="E16">
        <v>25892</v>
      </c>
      <c r="F16" t="s">
        <v>79</v>
      </c>
      <c r="G16" t="s">
        <v>130</v>
      </c>
      <c r="H16">
        <v>5300</v>
      </c>
      <c r="I16" s="14">
        <v>6500</v>
      </c>
      <c r="J16" t="s">
        <v>48</v>
      </c>
      <c r="K16">
        <v>42</v>
      </c>
      <c r="M16" t="s">
        <v>48</v>
      </c>
      <c r="N16">
        <v>96000</v>
      </c>
    </row>
    <row r="17" spans="1:14">
      <c r="A17" t="s">
        <v>77</v>
      </c>
      <c r="B17" t="s">
        <v>131</v>
      </c>
      <c r="C17" t="s">
        <v>132</v>
      </c>
      <c r="D17">
        <v>47</v>
      </c>
      <c r="E17">
        <v>29064</v>
      </c>
      <c r="F17" t="s">
        <v>133</v>
      </c>
      <c r="G17" t="s">
        <v>134</v>
      </c>
      <c r="H17">
        <v>13300</v>
      </c>
      <c r="I17">
        <v>1000</v>
      </c>
      <c r="J17" t="s">
        <v>49</v>
      </c>
      <c r="K17">
        <v>24</v>
      </c>
      <c r="M17" t="s">
        <v>49</v>
      </c>
      <c r="N17">
        <v>61500</v>
      </c>
    </row>
    <row r="18" spans="1:14">
      <c r="A18" t="s">
        <v>77</v>
      </c>
      <c r="B18" t="s">
        <v>135</v>
      </c>
      <c r="C18">
        <v>31800</v>
      </c>
      <c r="D18">
        <v>43</v>
      </c>
      <c r="E18">
        <v>30391</v>
      </c>
      <c r="F18" t="s">
        <v>136</v>
      </c>
      <c r="G18" t="s">
        <v>137</v>
      </c>
      <c r="H18">
        <v>7100</v>
      </c>
      <c r="I18" t="s">
        <v>138</v>
      </c>
      <c r="J18" t="s">
        <v>48</v>
      </c>
      <c r="K18">
        <v>23</v>
      </c>
      <c r="M18" t="s">
        <v>48</v>
      </c>
      <c r="N18">
        <v>67000</v>
      </c>
    </row>
    <row r="19" spans="1:14">
      <c r="A19" t="s">
        <v>72</v>
      </c>
      <c r="B19" t="s">
        <v>139</v>
      </c>
      <c r="C19" t="s">
        <v>140</v>
      </c>
      <c r="D19">
        <v>32</v>
      </c>
      <c r="E19" s="12">
        <v>34457</v>
      </c>
      <c r="F19" t="s">
        <v>133</v>
      </c>
      <c r="G19" t="s">
        <v>141</v>
      </c>
      <c r="H19" s="14">
        <v>21300</v>
      </c>
      <c r="I19" s="13">
        <v>48000</v>
      </c>
      <c r="J19" t="s">
        <v>48</v>
      </c>
      <c r="K19">
        <v>11</v>
      </c>
      <c r="M19" t="s">
        <v>48</v>
      </c>
      <c r="N19">
        <v>35000</v>
      </c>
    </row>
    <row r="20" spans="1:14">
      <c r="A20" t="s">
        <v>72</v>
      </c>
      <c r="B20" t="s">
        <v>142</v>
      </c>
      <c r="C20">
        <v>22300</v>
      </c>
      <c r="D20">
        <v>25</v>
      </c>
      <c r="E20" s="12">
        <v>36831</v>
      </c>
      <c r="F20" t="s">
        <v>143</v>
      </c>
      <c r="G20" t="s">
        <v>144</v>
      </c>
      <c r="H20" s="14">
        <v>9400</v>
      </c>
      <c r="I20">
        <v>51500</v>
      </c>
      <c r="J20" t="s">
        <v>48</v>
      </c>
      <c r="K20">
        <v>14</v>
      </c>
      <c r="M20" t="s">
        <v>48</v>
      </c>
      <c r="N20">
        <v>29500</v>
      </c>
    </row>
    <row r="21" spans="1:14">
      <c r="A21" t="s">
        <v>72</v>
      </c>
      <c r="B21" t="s">
        <v>145</v>
      </c>
      <c r="C21" t="s">
        <v>146</v>
      </c>
      <c r="D21">
        <v>23</v>
      </c>
      <c r="E21">
        <v>37627</v>
      </c>
      <c r="F21" t="s">
        <v>133</v>
      </c>
      <c r="G21" t="s">
        <v>141</v>
      </c>
      <c r="I21">
        <v>69000</v>
      </c>
      <c r="J21" t="s">
        <v>48</v>
      </c>
      <c r="K21">
        <v>20</v>
      </c>
      <c r="M21" t="s">
        <v>48</v>
      </c>
      <c r="N21">
        <v>69000</v>
      </c>
    </row>
    <row r="22" spans="1:14">
      <c r="A22" t="s">
        <v>77</v>
      </c>
      <c r="B22" t="s">
        <v>147</v>
      </c>
      <c r="C22" t="s">
        <v>148</v>
      </c>
      <c r="D22">
        <v>53</v>
      </c>
      <c r="E22" s="12">
        <v>26629</v>
      </c>
      <c r="F22" t="s">
        <v>149</v>
      </c>
      <c r="G22" t="s">
        <v>150</v>
      </c>
      <c r="H22" s="14">
        <v>16500</v>
      </c>
      <c r="I22" s="13">
        <v>4000</v>
      </c>
      <c r="J22" t="s">
        <v>48</v>
      </c>
      <c r="K22">
        <v>14</v>
      </c>
      <c r="M22" t="s">
        <v>48</v>
      </c>
      <c r="N22">
        <v>36000</v>
      </c>
    </row>
    <row r="23" spans="1:14">
      <c r="A23" t="s">
        <v>72</v>
      </c>
      <c r="B23" t="s">
        <v>151</v>
      </c>
      <c r="C23" t="s">
        <v>152</v>
      </c>
      <c r="E23">
        <v>21378</v>
      </c>
      <c r="F23" t="s">
        <v>116</v>
      </c>
      <c r="H23">
        <v>14300</v>
      </c>
      <c r="I23">
        <v>32500</v>
      </c>
      <c r="J23" t="s">
        <v>49</v>
      </c>
      <c r="K23">
        <v>15</v>
      </c>
      <c r="M23" t="s">
        <v>49</v>
      </c>
      <c r="N23">
        <v>8000</v>
      </c>
    </row>
    <row r="24" spans="1:14">
      <c r="A24" t="s">
        <v>77</v>
      </c>
      <c r="B24" t="s">
        <v>153</v>
      </c>
      <c r="C24" t="s">
        <v>154</v>
      </c>
      <c r="D24">
        <v>33</v>
      </c>
      <c r="E24" s="12">
        <v>34082</v>
      </c>
      <c r="F24" t="s">
        <v>116</v>
      </c>
      <c r="G24" t="s">
        <v>117</v>
      </c>
      <c r="H24">
        <v>23600</v>
      </c>
      <c r="I24" s="14">
        <v>75500</v>
      </c>
      <c r="J24" t="s">
        <v>48</v>
      </c>
      <c r="K24">
        <v>16</v>
      </c>
      <c r="M24" t="s">
        <v>48</v>
      </c>
      <c r="N24">
        <v>88000</v>
      </c>
    </row>
    <row r="25" spans="1:14">
      <c r="A25" t="s">
        <v>72</v>
      </c>
      <c r="B25" t="s">
        <v>155</v>
      </c>
      <c r="C25" t="s">
        <v>156</v>
      </c>
      <c r="D25">
        <v>68</v>
      </c>
      <c r="E25">
        <v>21145</v>
      </c>
      <c r="F25" t="s">
        <v>157</v>
      </c>
      <c r="G25" t="s">
        <v>137</v>
      </c>
      <c r="H25">
        <v>29000</v>
      </c>
      <c r="I25">
        <v>67500</v>
      </c>
      <c r="J25" t="s">
        <v>48</v>
      </c>
      <c r="K25">
        <v>25</v>
      </c>
      <c r="M25" t="s">
        <v>48</v>
      </c>
      <c r="N25">
        <v>18000</v>
      </c>
    </row>
    <row r="26" spans="1:14">
      <c r="A26" t="s">
        <v>77</v>
      </c>
      <c r="B26" t="s">
        <v>158</v>
      </c>
      <c r="C26" t="s">
        <v>159</v>
      </c>
      <c r="D26">
        <v>62</v>
      </c>
      <c r="E26" s="12">
        <v>23259</v>
      </c>
      <c r="F26" t="s">
        <v>84</v>
      </c>
      <c r="G26" t="s">
        <v>160</v>
      </c>
      <c r="I26">
        <v>0</v>
      </c>
      <c r="J26" t="s">
        <v>49</v>
      </c>
      <c r="K26" t="s">
        <v>161</v>
      </c>
      <c r="M26" t="s">
        <v>49</v>
      </c>
      <c r="N26">
        <v>12000</v>
      </c>
    </row>
    <row r="27" spans="1:14">
      <c r="A27" t="s">
        <v>72</v>
      </c>
      <c r="B27" t="s">
        <v>162</v>
      </c>
      <c r="C27" t="s">
        <v>163</v>
      </c>
      <c r="D27">
        <v>58</v>
      </c>
      <c r="E27">
        <v>24911</v>
      </c>
      <c r="F27" t="s">
        <v>164</v>
      </c>
      <c r="G27" t="s">
        <v>134</v>
      </c>
      <c r="H27" s="13">
        <v>25400</v>
      </c>
      <c r="I27">
        <v>70500</v>
      </c>
      <c r="J27" t="s">
        <v>49</v>
      </c>
      <c r="K27">
        <v>11</v>
      </c>
      <c r="M27" t="s">
        <v>49</v>
      </c>
      <c r="N27">
        <v>47000</v>
      </c>
    </row>
    <row r="28" spans="1:14">
      <c r="A28" t="s">
        <v>72</v>
      </c>
      <c r="B28" t="s">
        <v>93</v>
      </c>
      <c r="C28">
        <v>34300</v>
      </c>
      <c r="D28">
        <v>48</v>
      </c>
      <c r="E28" s="12">
        <v>28408</v>
      </c>
      <c r="F28" t="s">
        <v>165</v>
      </c>
      <c r="H28" s="14">
        <v>13300</v>
      </c>
      <c r="I28">
        <v>42000</v>
      </c>
      <c r="J28" t="s">
        <v>49</v>
      </c>
      <c r="K28">
        <v>27</v>
      </c>
      <c r="M28" t="s">
        <v>49</v>
      </c>
      <c r="N28">
        <v>40000</v>
      </c>
    </row>
    <row r="29" spans="1:14">
      <c r="A29" t="s">
        <v>72</v>
      </c>
      <c r="B29" t="s">
        <v>166</v>
      </c>
      <c r="C29" t="s">
        <v>167</v>
      </c>
      <c r="D29">
        <v>29</v>
      </c>
      <c r="E29">
        <v>35323</v>
      </c>
      <c r="F29" t="s">
        <v>168</v>
      </c>
      <c r="G29" t="s">
        <v>144</v>
      </c>
      <c r="H29">
        <v>21200</v>
      </c>
      <c r="I29">
        <v>75000</v>
      </c>
      <c r="J29" t="s">
        <v>48</v>
      </c>
      <c r="K29">
        <v>6</v>
      </c>
      <c r="M29" t="s">
        <v>48</v>
      </c>
      <c r="N29">
        <v>63500</v>
      </c>
    </row>
    <row r="30" spans="1:14">
      <c r="A30" t="s">
        <v>169</v>
      </c>
      <c r="B30" t="s">
        <v>170</v>
      </c>
      <c r="C30" t="s">
        <v>171</v>
      </c>
      <c r="D30">
        <v>38</v>
      </c>
      <c r="E30">
        <v>32166</v>
      </c>
      <c r="F30" t="s">
        <v>136</v>
      </c>
      <c r="G30" t="s">
        <v>172</v>
      </c>
      <c r="H30" t="s">
        <v>123</v>
      </c>
      <c r="I30">
        <v>39000</v>
      </c>
      <c r="J30" t="s">
        <v>48</v>
      </c>
      <c r="K30">
        <v>25</v>
      </c>
      <c r="M30" t="s">
        <v>48</v>
      </c>
      <c r="N30">
        <v>88500</v>
      </c>
    </row>
    <row r="31" spans="1:14">
      <c r="A31" t="s">
        <v>77</v>
      </c>
      <c r="B31" t="s">
        <v>173</v>
      </c>
      <c r="C31" t="s">
        <v>174</v>
      </c>
      <c r="D31">
        <v>68</v>
      </c>
      <c r="E31">
        <v>21293</v>
      </c>
      <c r="F31" t="s">
        <v>107</v>
      </c>
      <c r="G31" t="s">
        <v>127</v>
      </c>
      <c r="H31">
        <v>3800</v>
      </c>
      <c r="I31">
        <v>70000</v>
      </c>
      <c r="J31" t="s">
        <v>49</v>
      </c>
      <c r="K31">
        <v>34</v>
      </c>
      <c r="M31" t="s">
        <v>49</v>
      </c>
      <c r="N31">
        <v>7500</v>
      </c>
    </row>
    <row r="32" spans="1:14">
      <c r="A32" t="s">
        <v>72</v>
      </c>
      <c r="B32" t="s">
        <v>175</v>
      </c>
      <c r="C32" t="s">
        <v>176</v>
      </c>
      <c r="D32">
        <v>19</v>
      </c>
      <c r="E32" s="12">
        <v>39220</v>
      </c>
      <c r="F32" t="s">
        <v>143</v>
      </c>
      <c r="G32" t="s">
        <v>144</v>
      </c>
      <c r="H32">
        <v>18000</v>
      </c>
      <c r="I32">
        <v>50500</v>
      </c>
      <c r="J32" t="s">
        <v>177</v>
      </c>
      <c r="K32">
        <v>11</v>
      </c>
      <c r="M32" t="s">
        <v>177</v>
      </c>
      <c r="N32">
        <v>26000</v>
      </c>
    </row>
    <row r="33" spans="1:14">
      <c r="A33" t="s">
        <v>72</v>
      </c>
      <c r="B33" t="s">
        <v>178</v>
      </c>
      <c r="C33">
        <v>15400</v>
      </c>
      <c r="D33">
        <v>42</v>
      </c>
      <c r="E33">
        <v>30642</v>
      </c>
      <c r="F33" t="s">
        <v>179</v>
      </c>
      <c r="G33" t="s">
        <v>179</v>
      </c>
      <c r="H33" t="s">
        <v>180</v>
      </c>
      <c r="I33">
        <v>19500</v>
      </c>
      <c r="J33" t="s">
        <v>48</v>
      </c>
      <c r="K33">
        <v>42</v>
      </c>
      <c r="M33" t="s">
        <v>48</v>
      </c>
      <c r="N33">
        <v>89500</v>
      </c>
    </row>
    <row r="34" spans="1:14">
      <c r="A34" t="s">
        <v>72</v>
      </c>
      <c r="B34" t="s">
        <v>181</v>
      </c>
      <c r="C34" t="s">
        <v>182</v>
      </c>
      <c r="D34">
        <v>27</v>
      </c>
      <c r="E34">
        <v>36319</v>
      </c>
      <c r="F34" t="s">
        <v>79</v>
      </c>
      <c r="G34" t="s">
        <v>183</v>
      </c>
      <c r="H34">
        <v>28800</v>
      </c>
      <c r="I34" s="14">
        <v>78500</v>
      </c>
      <c r="J34" t="s">
        <v>48</v>
      </c>
      <c r="K34">
        <v>2</v>
      </c>
      <c r="M34" t="s">
        <v>48</v>
      </c>
      <c r="N34">
        <v>53000</v>
      </c>
    </row>
    <row r="35" spans="1:14">
      <c r="A35" t="s">
        <v>72</v>
      </c>
      <c r="B35" t="s">
        <v>184</v>
      </c>
      <c r="C35" t="s">
        <v>185</v>
      </c>
      <c r="D35">
        <v>42</v>
      </c>
      <c r="E35">
        <v>30878</v>
      </c>
      <c r="F35" t="s">
        <v>107</v>
      </c>
      <c r="G35" t="s">
        <v>127</v>
      </c>
      <c r="H35">
        <v>17500</v>
      </c>
      <c r="I35">
        <v>3500</v>
      </c>
      <c r="J35" t="s">
        <v>186</v>
      </c>
      <c r="K35">
        <v>25</v>
      </c>
      <c r="M35" t="s">
        <v>186</v>
      </c>
      <c r="N35">
        <v>35000</v>
      </c>
    </row>
    <row r="36" spans="1:14">
      <c r="A36" t="s">
        <v>72</v>
      </c>
      <c r="B36" t="s">
        <v>187</v>
      </c>
      <c r="C36" t="s">
        <v>188</v>
      </c>
      <c r="D36">
        <v>44</v>
      </c>
      <c r="E36">
        <v>29975</v>
      </c>
      <c r="F36" t="s">
        <v>98</v>
      </c>
      <c r="G36" t="s">
        <v>189</v>
      </c>
      <c r="H36">
        <v>5300</v>
      </c>
      <c r="I36">
        <v>6000</v>
      </c>
      <c r="J36" t="s">
        <v>49</v>
      </c>
      <c r="K36">
        <v>1</v>
      </c>
      <c r="M36" t="s">
        <v>49</v>
      </c>
      <c r="N36">
        <v>4500</v>
      </c>
    </row>
    <row r="37" spans="1:14">
      <c r="A37" t="s">
        <v>72</v>
      </c>
      <c r="B37" t="s">
        <v>190</v>
      </c>
      <c r="C37" t="s">
        <v>191</v>
      </c>
      <c r="D37">
        <v>40</v>
      </c>
      <c r="E37" s="12">
        <v>31539</v>
      </c>
      <c r="F37" t="s">
        <v>157</v>
      </c>
      <c r="G37" t="s">
        <v>137</v>
      </c>
      <c r="H37">
        <v>9900</v>
      </c>
      <c r="I37">
        <v>3500</v>
      </c>
      <c r="J37" t="s">
        <v>48</v>
      </c>
      <c r="K37">
        <v>1</v>
      </c>
      <c r="M37" t="s">
        <v>48</v>
      </c>
      <c r="N37">
        <v>23500</v>
      </c>
    </row>
    <row r="38" spans="1:14">
      <c r="A38" t="s">
        <v>72</v>
      </c>
      <c r="B38" t="s">
        <v>192</v>
      </c>
      <c r="C38" t="s">
        <v>193</v>
      </c>
      <c r="D38">
        <v>65</v>
      </c>
      <c r="E38" s="12">
        <v>22236</v>
      </c>
      <c r="F38" t="s">
        <v>107</v>
      </c>
      <c r="G38" t="s">
        <v>108</v>
      </c>
      <c r="H38" t="s">
        <v>194</v>
      </c>
      <c r="I38">
        <v>28000</v>
      </c>
      <c r="J38" t="s">
        <v>48</v>
      </c>
      <c r="K38">
        <v>34</v>
      </c>
      <c r="M38" t="s">
        <v>48</v>
      </c>
      <c r="N38">
        <v>74000</v>
      </c>
    </row>
    <row r="39" spans="1:14">
      <c r="B39" t="s">
        <v>195</v>
      </c>
      <c r="C39" t="s">
        <v>196</v>
      </c>
      <c r="D39">
        <v>63</v>
      </c>
      <c r="E39">
        <v>22974</v>
      </c>
      <c r="F39" t="s">
        <v>179</v>
      </c>
      <c r="G39" t="s">
        <v>197</v>
      </c>
      <c r="H39" s="13">
        <v>14700</v>
      </c>
      <c r="I39">
        <v>0</v>
      </c>
      <c r="J39" t="s">
        <v>177</v>
      </c>
      <c r="K39">
        <v>40</v>
      </c>
      <c r="M39" t="s">
        <v>177</v>
      </c>
      <c r="N39">
        <v>83500</v>
      </c>
    </row>
    <row r="40" spans="1:14">
      <c r="A40" t="s">
        <v>72</v>
      </c>
      <c r="B40" t="s">
        <v>198</v>
      </c>
      <c r="C40" t="s">
        <v>199</v>
      </c>
      <c r="D40">
        <v>22</v>
      </c>
      <c r="F40" t="s">
        <v>116</v>
      </c>
      <c r="G40" t="s">
        <v>117</v>
      </c>
      <c r="H40">
        <v>14400</v>
      </c>
      <c r="I40">
        <v>0</v>
      </c>
      <c r="J40" t="s">
        <v>48</v>
      </c>
      <c r="K40" t="s">
        <v>200</v>
      </c>
      <c r="M40" t="s">
        <v>48</v>
      </c>
      <c r="N40">
        <v>33500</v>
      </c>
    </row>
    <row r="41" spans="1:14">
      <c r="A41" t="s">
        <v>100</v>
      </c>
      <c r="B41" t="s">
        <v>201</v>
      </c>
      <c r="C41" t="s">
        <v>202</v>
      </c>
      <c r="D41">
        <v>39</v>
      </c>
      <c r="E41">
        <v>31879</v>
      </c>
      <c r="F41" t="s">
        <v>143</v>
      </c>
      <c r="G41" t="s">
        <v>144</v>
      </c>
      <c r="H41" t="s">
        <v>203</v>
      </c>
      <c r="I41">
        <v>0</v>
      </c>
      <c r="J41" t="s">
        <v>48</v>
      </c>
      <c r="K41">
        <v>39</v>
      </c>
      <c r="M41" t="s">
        <v>48</v>
      </c>
      <c r="N41">
        <v>75000</v>
      </c>
    </row>
    <row r="42" spans="1:14">
      <c r="A42" t="s">
        <v>72</v>
      </c>
      <c r="B42" t="s">
        <v>204</v>
      </c>
      <c r="C42" t="s">
        <v>205</v>
      </c>
      <c r="D42">
        <v>63</v>
      </c>
      <c r="E42">
        <v>23231</v>
      </c>
      <c r="F42" t="s">
        <v>165</v>
      </c>
      <c r="G42" t="s">
        <v>137</v>
      </c>
      <c r="H42">
        <v>16800</v>
      </c>
      <c r="I42">
        <v>0</v>
      </c>
      <c r="K42">
        <v>32</v>
      </c>
      <c r="N42">
        <v>61500</v>
      </c>
    </row>
    <row r="43" spans="1:14">
      <c r="A43" t="s">
        <v>72</v>
      </c>
      <c r="B43" t="s">
        <v>206</v>
      </c>
      <c r="C43" t="s">
        <v>207</v>
      </c>
      <c r="D43">
        <v>54</v>
      </c>
      <c r="E43" s="12">
        <v>26213</v>
      </c>
      <c r="F43" t="s">
        <v>143</v>
      </c>
      <c r="G43" t="s">
        <v>208</v>
      </c>
      <c r="H43">
        <v>29700</v>
      </c>
      <c r="I43">
        <v>34000</v>
      </c>
      <c r="J43" t="s">
        <v>48</v>
      </c>
      <c r="K43">
        <v>35</v>
      </c>
      <c r="M43" t="s">
        <v>48</v>
      </c>
      <c r="N43">
        <v>35000</v>
      </c>
    </row>
    <row r="44" spans="1:14">
      <c r="A44" t="s">
        <v>72</v>
      </c>
      <c r="B44" t="s">
        <v>101</v>
      </c>
      <c r="C44" t="s">
        <v>209</v>
      </c>
      <c r="D44">
        <v>29</v>
      </c>
      <c r="E44">
        <v>35472</v>
      </c>
      <c r="F44" t="s">
        <v>210</v>
      </c>
      <c r="H44">
        <v>11900</v>
      </c>
      <c r="I44">
        <v>65000</v>
      </c>
      <c r="J44" t="s">
        <v>49</v>
      </c>
      <c r="K44">
        <v>29</v>
      </c>
      <c r="M44" t="s">
        <v>49</v>
      </c>
      <c r="N44">
        <v>12000</v>
      </c>
    </row>
    <row r="45" spans="1:14">
      <c r="A45" t="s">
        <v>72</v>
      </c>
      <c r="B45" t="s">
        <v>211</v>
      </c>
      <c r="C45">
        <v>16500</v>
      </c>
      <c r="D45">
        <v>37</v>
      </c>
      <c r="E45">
        <v>32513</v>
      </c>
      <c r="F45" t="s">
        <v>212</v>
      </c>
      <c r="G45" t="s">
        <v>213</v>
      </c>
      <c r="H45" s="13">
        <v>2600</v>
      </c>
      <c r="I45" t="s">
        <v>87</v>
      </c>
      <c r="J45" t="s">
        <v>48</v>
      </c>
      <c r="K45">
        <v>5</v>
      </c>
      <c r="M45" t="s">
        <v>48</v>
      </c>
      <c r="N45">
        <v>16500</v>
      </c>
    </row>
    <row r="46" spans="1:14">
      <c r="A46" t="s">
        <v>72</v>
      </c>
      <c r="B46" t="s">
        <v>214</v>
      </c>
      <c r="C46">
        <v>15100</v>
      </c>
      <c r="D46">
        <v>25</v>
      </c>
      <c r="E46" s="12">
        <v>37125</v>
      </c>
      <c r="F46" t="s">
        <v>179</v>
      </c>
      <c r="G46" t="s">
        <v>179</v>
      </c>
      <c r="H46">
        <v>2500</v>
      </c>
      <c r="I46">
        <v>72500</v>
      </c>
      <c r="J46" t="s">
        <v>48</v>
      </c>
      <c r="K46">
        <v>32</v>
      </c>
      <c r="M46" t="s">
        <v>48</v>
      </c>
      <c r="N46">
        <v>97000</v>
      </c>
    </row>
    <row r="47" spans="1:14">
      <c r="A47" t="s">
        <v>72</v>
      </c>
      <c r="B47" t="s">
        <v>215</v>
      </c>
      <c r="C47" t="s">
        <v>216</v>
      </c>
      <c r="D47">
        <v>21</v>
      </c>
      <c r="E47">
        <v>38323</v>
      </c>
      <c r="F47" t="s">
        <v>133</v>
      </c>
      <c r="G47" t="s">
        <v>134</v>
      </c>
      <c r="H47" t="s">
        <v>217</v>
      </c>
      <c r="I47">
        <v>0</v>
      </c>
      <c r="J47" t="s">
        <v>48</v>
      </c>
      <c r="K47">
        <v>25</v>
      </c>
      <c r="M47" t="s">
        <v>48</v>
      </c>
      <c r="N47">
        <v>50000</v>
      </c>
    </row>
    <row r="48" spans="1:14">
      <c r="A48" t="s">
        <v>72</v>
      </c>
      <c r="B48" t="s">
        <v>218</v>
      </c>
      <c r="C48" t="s">
        <v>219</v>
      </c>
      <c r="D48">
        <v>28</v>
      </c>
      <c r="E48" s="12">
        <v>35887</v>
      </c>
      <c r="F48" t="s">
        <v>220</v>
      </c>
      <c r="G48" t="s">
        <v>85</v>
      </c>
      <c r="H48" t="s">
        <v>221</v>
      </c>
      <c r="I48">
        <v>51000</v>
      </c>
      <c r="J48" t="s">
        <v>186</v>
      </c>
      <c r="K48">
        <v>12</v>
      </c>
      <c r="M48" t="s">
        <v>186</v>
      </c>
      <c r="N48">
        <v>72500</v>
      </c>
    </row>
    <row r="49" spans="1:14">
      <c r="A49" t="s">
        <v>72</v>
      </c>
      <c r="B49" t="s">
        <v>222</v>
      </c>
      <c r="C49">
        <v>10800</v>
      </c>
      <c r="D49">
        <v>39</v>
      </c>
      <c r="E49" s="12">
        <v>31766</v>
      </c>
      <c r="F49" t="s">
        <v>143</v>
      </c>
      <c r="G49" t="s">
        <v>213</v>
      </c>
      <c r="H49">
        <v>24700</v>
      </c>
      <c r="I49" t="s">
        <v>223</v>
      </c>
      <c r="J49" t="s">
        <v>48</v>
      </c>
      <c r="K49">
        <v>43</v>
      </c>
      <c r="M49" t="s">
        <v>48</v>
      </c>
      <c r="N49">
        <v>57000</v>
      </c>
    </row>
    <row r="50" spans="1:14">
      <c r="A50" t="s">
        <v>72</v>
      </c>
      <c r="B50" t="s">
        <v>224</v>
      </c>
      <c r="C50">
        <v>15000</v>
      </c>
      <c r="D50">
        <v>73</v>
      </c>
      <c r="E50">
        <v>19588</v>
      </c>
      <c r="F50" t="s">
        <v>157</v>
      </c>
      <c r="G50" t="s">
        <v>137</v>
      </c>
      <c r="H50" s="14">
        <v>28600</v>
      </c>
      <c r="I50">
        <v>40500</v>
      </c>
      <c r="J50" t="s">
        <v>48</v>
      </c>
      <c r="K50">
        <v>20</v>
      </c>
      <c r="M50" t="s">
        <v>48</v>
      </c>
      <c r="N50">
        <v>2500</v>
      </c>
    </row>
    <row r="51" spans="1:14">
      <c r="A51" t="s">
        <v>72</v>
      </c>
      <c r="B51" t="s">
        <v>225</v>
      </c>
      <c r="C51" t="s">
        <v>226</v>
      </c>
      <c r="D51">
        <v>42</v>
      </c>
      <c r="E51" s="12">
        <v>30662</v>
      </c>
      <c r="F51" t="s">
        <v>136</v>
      </c>
      <c r="G51" t="s">
        <v>150</v>
      </c>
      <c r="H51">
        <v>20400</v>
      </c>
      <c r="I51">
        <v>0</v>
      </c>
      <c r="J51" t="s">
        <v>186</v>
      </c>
      <c r="K51">
        <v>0</v>
      </c>
      <c r="M51" t="s">
        <v>186</v>
      </c>
      <c r="N51">
        <v>81000</v>
      </c>
    </row>
    <row r="52" spans="1:14">
      <c r="A52" t="s">
        <v>72</v>
      </c>
      <c r="B52" t="s">
        <v>227</v>
      </c>
      <c r="C52" t="s">
        <v>228</v>
      </c>
      <c r="D52">
        <v>48</v>
      </c>
      <c r="E52" s="12">
        <v>28430</v>
      </c>
      <c r="F52" t="s">
        <v>107</v>
      </c>
      <c r="G52" t="s">
        <v>108</v>
      </c>
      <c r="H52" t="s">
        <v>229</v>
      </c>
      <c r="I52">
        <v>0</v>
      </c>
      <c r="J52" t="s">
        <v>48</v>
      </c>
      <c r="K52">
        <v>3</v>
      </c>
      <c r="M52" t="s">
        <v>48</v>
      </c>
      <c r="N52">
        <v>48500</v>
      </c>
    </row>
    <row r="53" spans="1:14">
      <c r="A53" t="s">
        <v>77</v>
      </c>
      <c r="B53" t="s">
        <v>89</v>
      </c>
      <c r="C53" t="s">
        <v>230</v>
      </c>
      <c r="D53">
        <v>39</v>
      </c>
      <c r="E53" s="12">
        <v>31693</v>
      </c>
      <c r="F53" t="s">
        <v>98</v>
      </c>
      <c r="G53" t="s">
        <v>103</v>
      </c>
      <c r="H53">
        <v>22200</v>
      </c>
      <c r="I53">
        <v>0</v>
      </c>
      <c r="J53" t="s">
        <v>49</v>
      </c>
      <c r="K53">
        <v>3</v>
      </c>
      <c r="M53" t="s">
        <v>49</v>
      </c>
      <c r="N53">
        <v>7000</v>
      </c>
    </row>
    <row r="54" spans="1:14">
      <c r="A54" t="s">
        <v>72</v>
      </c>
      <c r="B54" t="s">
        <v>231</v>
      </c>
      <c r="C54" t="s">
        <v>232</v>
      </c>
      <c r="D54">
        <v>56</v>
      </c>
      <c r="E54" s="12">
        <v>25525</v>
      </c>
      <c r="F54" t="s">
        <v>179</v>
      </c>
      <c r="G54" t="s">
        <v>179</v>
      </c>
      <c r="H54" t="s">
        <v>233</v>
      </c>
      <c r="I54">
        <v>63000</v>
      </c>
      <c r="J54" t="s">
        <v>48</v>
      </c>
      <c r="K54">
        <v>0</v>
      </c>
      <c r="M54" t="s">
        <v>48</v>
      </c>
      <c r="N54">
        <v>56000</v>
      </c>
    </row>
    <row r="55" spans="1:14">
      <c r="A55" t="s">
        <v>72</v>
      </c>
      <c r="B55" t="s">
        <v>234</v>
      </c>
      <c r="C55">
        <v>14200</v>
      </c>
      <c r="D55">
        <v>48</v>
      </c>
      <c r="E55" s="12">
        <v>28681</v>
      </c>
      <c r="F55" t="s">
        <v>235</v>
      </c>
      <c r="H55">
        <v>15800</v>
      </c>
      <c r="I55" t="s">
        <v>87</v>
      </c>
      <c r="J55" t="s">
        <v>48</v>
      </c>
      <c r="K55">
        <v>12</v>
      </c>
      <c r="M55" t="s">
        <v>48</v>
      </c>
      <c r="N55">
        <v>69500</v>
      </c>
    </row>
    <row r="56" spans="1:14">
      <c r="A56" t="s">
        <v>72</v>
      </c>
      <c r="B56" t="s">
        <v>236</v>
      </c>
      <c r="C56" t="s">
        <v>237</v>
      </c>
      <c r="D56">
        <v>70</v>
      </c>
      <c r="E56" s="12">
        <v>20570</v>
      </c>
      <c r="F56" t="s">
        <v>122</v>
      </c>
      <c r="G56" t="s">
        <v>117</v>
      </c>
      <c r="H56">
        <v>16300</v>
      </c>
      <c r="I56">
        <v>16500</v>
      </c>
      <c r="J56" t="s">
        <v>48</v>
      </c>
      <c r="K56">
        <v>25</v>
      </c>
      <c r="M56" t="s">
        <v>48</v>
      </c>
      <c r="N56">
        <v>65500</v>
      </c>
    </row>
    <row r="57" spans="1:14">
      <c r="A57" t="s">
        <v>100</v>
      </c>
      <c r="B57" t="s">
        <v>238</v>
      </c>
      <c r="C57" t="s">
        <v>239</v>
      </c>
      <c r="D57">
        <v>24</v>
      </c>
      <c r="E57">
        <v>37435</v>
      </c>
      <c r="F57" t="s">
        <v>240</v>
      </c>
      <c r="G57" t="s">
        <v>241</v>
      </c>
      <c r="H57">
        <v>6100</v>
      </c>
      <c r="J57" t="s">
        <v>242</v>
      </c>
      <c r="K57">
        <v>15</v>
      </c>
      <c r="M57" t="s">
        <v>242</v>
      </c>
      <c r="N57">
        <v>67000</v>
      </c>
    </row>
    <row r="58" spans="1:14">
      <c r="A58" t="s">
        <v>72</v>
      </c>
      <c r="B58" t="s">
        <v>243</v>
      </c>
      <c r="C58" t="s">
        <v>244</v>
      </c>
      <c r="D58">
        <v>47</v>
      </c>
      <c r="E58">
        <v>28802</v>
      </c>
      <c r="F58" t="s">
        <v>240</v>
      </c>
      <c r="G58" t="s">
        <v>245</v>
      </c>
      <c r="H58">
        <v>22700</v>
      </c>
      <c r="I58">
        <v>8500</v>
      </c>
      <c r="K58">
        <v>35</v>
      </c>
      <c r="N58">
        <v>23500</v>
      </c>
    </row>
    <row r="59" spans="1:14">
      <c r="A59" t="s">
        <v>72</v>
      </c>
      <c r="B59" t="s">
        <v>246</v>
      </c>
      <c r="C59" t="s">
        <v>247</v>
      </c>
      <c r="D59">
        <v>33</v>
      </c>
      <c r="E59" s="12">
        <v>33881</v>
      </c>
      <c r="F59" t="s">
        <v>136</v>
      </c>
      <c r="G59" t="s">
        <v>150</v>
      </c>
      <c r="H59" s="14">
        <v>29700</v>
      </c>
      <c r="I59">
        <v>22000</v>
      </c>
      <c r="J59" t="s">
        <v>48</v>
      </c>
      <c r="K59" t="s">
        <v>248</v>
      </c>
      <c r="M59" t="s">
        <v>48</v>
      </c>
      <c r="N59">
        <v>81000</v>
      </c>
    </row>
    <row r="60" spans="1:14">
      <c r="A60" t="s">
        <v>77</v>
      </c>
      <c r="B60" t="s">
        <v>249</v>
      </c>
      <c r="C60" t="s">
        <v>250</v>
      </c>
      <c r="D60">
        <v>38</v>
      </c>
      <c r="E60" s="12">
        <v>32102</v>
      </c>
      <c r="F60" t="s">
        <v>107</v>
      </c>
      <c r="G60" t="s">
        <v>113</v>
      </c>
      <c r="H60">
        <v>13500</v>
      </c>
      <c r="I60">
        <v>24000</v>
      </c>
      <c r="J60" t="s">
        <v>48</v>
      </c>
      <c r="K60">
        <v>2</v>
      </c>
      <c r="M60" t="s">
        <v>48</v>
      </c>
      <c r="N60">
        <v>17500</v>
      </c>
    </row>
    <row r="61" spans="1:14">
      <c r="A61" t="s">
        <v>77</v>
      </c>
      <c r="B61" t="s">
        <v>251</v>
      </c>
      <c r="C61">
        <v>3400</v>
      </c>
      <c r="D61">
        <v>35</v>
      </c>
      <c r="E61" s="12">
        <v>33204</v>
      </c>
      <c r="F61" t="s">
        <v>165</v>
      </c>
      <c r="G61" t="s">
        <v>172</v>
      </c>
      <c r="H61">
        <v>17600</v>
      </c>
      <c r="I61">
        <v>44000</v>
      </c>
      <c r="J61" t="s">
        <v>242</v>
      </c>
      <c r="K61">
        <v>22</v>
      </c>
      <c r="M61" t="s">
        <v>242</v>
      </c>
      <c r="N61">
        <v>56500</v>
      </c>
    </row>
    <row r="62" spans="1:14">
      <c r="A62" t="s">
        <v>77</v>
      </c>
      <c r="B62" t="s">
        <v>252</v>
      </c>
      <c r="C62" t="s">
        <v>253</v>
      </c>
      <c r="D62">
        <v>67</v>
      </c>
      <c r="E62">
        <v>21512</v>
      </c>
      <c r="F62" t="s">
        <v>122</v>
      </c>
      <c r="G62" t="s">
        <v>254</v>
      </c>
      <c r="H62" s="13">
        <v>3200</v>
      </c>
      <c r="I62">
        <v>6500</v>
      </c>
      <c r="J62" t="s">
        <v>48</v>
      </c>
      <c r="K62">
        <v>20</v>
      </c>
      <c r="M62" t="s">
        <v>48</v>
      </c>
      <c r="N62">
        <v>52500</v>
      </c>
    </row>
    <row r="63" spans="1:14">
      <c r="A63" t="s">
        <v>255</v>
      </c>
      <c r="B63" t="s">
        <v>256</v>
      </c>
      <c r="C63" t="s">
        <v>257</v>
      </c>
      <c r="D63">
        <v>51</v>
      </c>
      <c r="E63" s="12">
        <v>27377</v>
      </c>
      <c r="F63" t="s">
        <v>107</v>
      </c>
      <c r="G63" t="s">
        <v>108</v>
      </c>
      <c r="H63">
        <v>16300</v>
      </c>
      <c r="J63" t="s">
        <v>186</v>
      </c>
      <c r="K63">
        <v>8</v>
      </c>
      <c r="M63" t="s">
        <v>186</v>
      </c>
      <c r="N63">
        <v>33000</v>
      </c>
    </row>
    <row r="64" spans="1:14">
      <c r="A64" t="s">
        <v>77</v>
      </c>
      <c r="B64" t="s">
        <v>258</v>
      </c>
      <c r="C64" t="s">
        <v>259</v>
      </c>
      <c r="D64" t="s">
        <v>260</v>
      </c>
      <c r="E64" s="12">
        <v>29113</v>
      </c>
      <c r="F64" t="s">
        <v>157</v>
      </c>
      <c r="G64" t="s">
        <v>137</v>
      </c>
      <c r="H64">
        <v>15000</v>
      </c>
      <c r="I64">
        <v>32500</v>
      </c>
      <c r="J64" t="s">
        <v>48</v>
      </c>
      <c r="K64">
        <v>40</v>
      </c>
      <c r="M64" t="s">
        <v>48</v>
      </c>
      <c r="N64">
        <v>4500</v>
      </c>
    </row>
    <row r="65" spans="1:14">
      <c r="A65" t="s">
        <v>72</v>
      </c>
      <c r="B65" t="s">
        <v>261</v>
      </c>
      <c r="C65">
        <v>23900</v>
      </c>
      <c r="D65">
        <v>39</v>
      </c>
      <c r="E65">
        <v>31740</v>
      </c>
      <c r="F65" t="s">
        <v>107</v>
      </c>
      <c r="G65" t="s">
        <v>262</v>
      </c>
      <c r="H65" s="13">
        <v>13200</v>
      </c>
      <c r="I65" t="s">
        <v>87</v>
      </c>
      <c r="J65" t="s">
        <v>48</v>
      </c>
      <c r="K65" t="s">
        <v>248</v>
      </c>
      <c r="M65" t="s">
        <v>48</v>
      </c>
      <c r="N65">
        <v>36000</v>
      </c>
    </row>
    <row r="66" spans="1:14">
      <c r="A66" t="s">
        <v>72</v>
      </c>
      <c r="B66" t="s">
        <v>263</v>
      </c>
      <c r="C66" t="s">
        <v>264</v>
      </c>
      <c r="D66">
        <v>24</v>
      </c>
      <c r="E66">
        <v>37172</v>
      </c>
      <c r="F66" t="s">
        <v>75</v>
      </c>
      <c r="G66" t="s">
        <v>76</v>
      </c>
      <c r="H66">
        <v>21600</v>
      </c>
      <c r="I66" s="13">
        <v>25000</v>
      </c>
      <c r="J66" t="s">
        <v>48</v>
      </c>
      <c r="K66">
        <v>33</v>
      </c>
      <c r="M66" t="s">
        <v>48</v>
      </c>
      <c r="N66">
        <v>17500</v>
      </c>
    </row>
    <row r="67" spans="1:14">
      <c r="A67" t="s">
        <v>72</v>
      </c>
      <c r="B67" t="s">
        <v>265</v>
      </c>
      <c r="C67">
        <v>16100</v>
      </c>
      <c r="D67">
        <v>57</v>
      </c>
      <c r="F67" t="s">
        <v>98</v>
      </c>
      <c r="G67" t="s">
        <v>189</v>
      </c>
      <c r="H67" t="s">
        <v>180</v>
      </c>
      <c r="J67" t="s">
        <v>49</v>
      </c>
      <c r="K67" t="s">
        <v>266</v>
      </c>
      <c r="M67" t="s">
        <v>49</v>
      </c>
      <c r="N67">
        <v>13000</v>
      </c>
    </row>
    <row r="68" spans="1:14">
      <c r="A68" t="s">
        <v>72</v>
      </c>
      <c r="B68" t="s">
        <v>267</v>
      </c>
      <c r="C68">
        <v>6300</v>
      </c>
      <c r="D68">
        <v>68</v>
      </c>
      <c r="F68" t="s">
        <v>84</v>
      </c>
      <c r="G68" t="s">
        <v>85</v>
      </c>
      <c r="H68" s="14">
        <v>19900</v>
      </c>
      <c r="I68">
        <v>35000</v>
      </c>
      <c r="J68" t="s">
        <v>186</v>
      </c>
      <c r="K68">
        <v>25</v>
      </c>
      <c r="M68" t="s">
        <v>186</v>
      </c>
      <c r="N68">
        <v>59500</v>
      </c>
    </row>
    <row r="69" spans="1:14">
      <c r="A69" t="s">
        <v>72</v>
      </c>
      <c r="B69" t="s">
        <v>268</v>
      </c>
      <c r="C69">
        <v>27200</v>
      </c>
      <c r="D69">
        <v>56</v>
      </c>
      <c r="E69" s="12">
        <v>25710</v>
      </c>
      <c r="F69" t="s">
        <v>157</v>
      </c>
      <c r="G69" t="s">
        <v>137</v>
      </c>
      <c r="H69">
        <v>14100</v>
      </c>
      <c r="I69">
        <v>1500</v>
      </c>
      <c r="J69" t="s">
        <v>48</v>
      </c>
      <c r="K69">
        <v>26</v>
      </c>
      <c r="M69" t="s">
        <v>48</v>
      </c>
      <c r="N69">
        <v>36000</v>
      </c>
    </row>
    <row r="70" spans="1:14">
      <c r="A70" t="s">
        <v>100</v>
      </c>
      <c r="B70" t="s">
        <v>269</v>
      </c>
      <c r="C70" t="s">
        <v>270</v>
      </c>
      <c r="D70">
        <v>33</v>
      </c>
      <c r="E70" s="12">
        <v>34027</v>
      </c>
      <c r="F70" t="s">
        <v>122</v>
      </c>
      <c r="G70" t="s">
        <v>271</v>
      </c>
      <c r="H70">
        <v>3400</v>
      </c>
      <c r="I70">
        <v>0</v>
      </c>
      <c r="J70" t="s">
        <v>48</v>
      </c>
      <c r="K70">
        <v>13</v>
      </c>
      <c r="M70" t="s">
        <v>48</v>
      </c>
      <c r="N70">
        <v>70000</v>
      </c>
    </row>
    <row r="71" spans="1:14">
      <c r="A71" t="s">
        <v>72</v>
      </c>
      <c r="B71" t="s">
        <v>272</v>
      </c>
      <c r="C71" t="s">
        <v>273</v>
      </c>
      <c r="D71">
        <v>41</v>
      </c>
      <c r="E71" s="12">
        <v>30944</v>
      </c>
      <c r="F71" t="s">
        <v>79</v>
      </c>
      <c r="G71" t="s">
        <v>80</v>
      </c>
      <c r="H71" t="s">
        <v>274</v>
      </c>
      <c r="I71" s="14">
        <v>20500</v>
      </c>
      <c r="J71" t="s">
        <v>49</v>
      </c>
      <c r="K71">
        <v>8</v>
      </c>
      <c r="M71" t="s">
        <v>49</v>
      </c>
      <c r="N71">
        <v>44000</v>
      </c>
    </row>
    <row r="72" spans="1:14">
      <c r="A72" t="s">
        <v>72</v>
      </c>
      <c r="B72" t="s">
        <v>275</v>
      </c>
      <c r="C72" t="s">
        <v>276</v>
      </c>
      <c r="E72" s="12">
        <v>34411</v>
      </c>
      <c r="F72" t="s">
        <v>179</v>
      </c>
      <c r="G72" t="s">
        <v>179</v>
      </c>
      <c r="I72">
        <v>0</v>
      </c>
      <c r="J72" t="s">
        <v>48</v>
      </c>
      <c r="K72">
        <v>20</v>
      </c>
      <c r="M72" t="s">
        <v>48</v>
      </c>
      <c r="N72">
        <v>42000</v>
      </c>
    </row>
    <row r="73" spans="1:14">
      <c r="A73" t="s">
        <v>72</v>
      </c>
      <c r="B73" t="s">
        <v>277</v>
      </c>
      <c r="C73" t="s">
        <v>278</v>
      </c>
      <c r="D73">
        <v>34</v>
      </c>
      <c r="E73">
        <v>33525</v>
      </c>
      <c r="F73" t="s">
        <v>165</v>
      </c>
      <c r="H73">
        <v>28000</v>
      </c>
      <c r="I73">
        <v>36500</v>
      </c>
      <c r="J73" t="s">
        <v>48</v>
      </c>
      <c r="K73">
        <v>33</v>
      </c>
      <c r="M73" t="s">
        <v>48</v>
      </c>
      <c r="N73">
        <v>60000</v>
      </c>
    </row>
    <row r="74" spans="1:14">
      <c r="A74" t="s">
        <v>72</v>
      </c>
      <c r="B74" t="s">
        <v>279</v>
      </c>
      <c r="C74" t="s">
        <v>280</v>
      </c>
      <c r="D74">
        <v>24</v>
      </c>
      <c r="E74">
        <v>37259</v>
      </c>
      <c r="F74" t="s">
        <v>179</v>
      </c>
      <c r="G74" t="s">
        <v>179</v>
      </c>
      <c r="H74">
        <v>25200</v>
      </c>
      <c r="I74">
        <v>0</v>
      </c>
      <c r="J74" t="s">
        <v>48</v>
      </c>
      <c r="K74">
        <v>10</v>
      </c>
      <c r="M74" t="s">
        <v>48</v>
      </c>
      <c r="N74">
        <v>69500</v>
      </c>
    </row>
    <row r="75" spans="1:14">
      <c r="A75" t="s">
        <v>72</v>
      </c>
      <c r="B75" t="s">
        <v>281</v>
      </c>
      <c r="C75" t="s">
        <v>282</v>
      </c>
      <c r="D75">
        <v>55</v>
      </c>
      <c r="E75">
        <v>26104</v>
      </c>
      <c r="F75" t="s">
        <v>107</v>
      </c>
      <c r="G75" t="s">
        <v>108</v>
      </c>
      <c r="H75" s="14">
        <v>22100</v>
      </c>
      <c r="I75">
        <v>41500</v>
      </c>
      <c r="J75" t="s">
        <v>48</v>
      </c>
      <c r="K75">
        <v>18</v>
      </c>
      <c r="M75" t="s">
        <v>48</v>
      </c>
      <c r="N75">
        <v>65000</v>
      </c>
    </row>
    <row r="76" spans="1:14">
      <c r="A76" t="s">
        <v>77</v>
      </c>
      <c r="B76" t="s">
        <v>283</v>
      </c>
      <c r="C76" t="s">
        <v>284</v>
      </c>
      <c r="D76">
        <v>59</v>
      </c>
      <c r="E76">
        <v>24512</v>
      </c>
      <c r="F76" t="s">
        <v>212</v>
      </c>
      <c r="G76" t="s">
        <v>208</v>
      </c>
      <c r="H76">
        <v>6300</v>
      </c>
      <c r="I76">
        <v>15000</v>
      </c>
      <c r="J76" t="s">
        <v>48</v>
      </c>
      <c r="K76">
        <v>42</v>
      </c>
      <c r="M76" t="s">
        <v>48</v>
      </c>
      <c r="N76">
        <v>8500</v>
      </c>
    </row>
    <row r="77" spans="1:14">
      <c r="A77" t="s">
        <v>77</v>
      </c>
      <c r="B77" t="s">
        <v>285</v>
      </c>
      <c r="C77" t="s">
        <v>286</v>
      </c>
      <c r="D77">
        <v>70</v>
      </c>
      <c r="E77" s="12">
        <v>20502</v>
      </c>
      <c r="F77" t="s">
        <v>98</v>
      </c>
      <c r="G77" t="s">
        <v>103</v>
      </c>
      <c r="H77" s="14">
        <v>2500</v>
      </c>
      <c r="I77">
        <v>0</v>
      </c>
      <c r="J77" t="s">
        <v>48</v>
      </c>
      <c r="K77">
        <v>38</v>
      </c>
      <c r="M77" t="s">
        <v>48</v>
      </c>
      <c r="N77">
        <v>44500</v>
      </c>
    </row>
    <row r="78" spans="1:14">
      <c r="A78" t="s">
        <v>72</v>
      </c>
      <c r="B78" t="s">
        <v>287</v>
      </c>
      <c r="C78" t="s">
        <v>288</v>
      </c>
      <c r="D78">
        <v>37</v>
      </c>
      <c r="E78">
        <v>32543</v>
      </c>
      <c r="F78" t="s">
        <v>143</v>
      </c>
      <c r="G78" t="s">
        <v>144</v>
      </c>
      <c r="H78">
        <v>29200</v>
      </c>
      <c r="I78" s="13">
        <v>45000</v>
      </c>
      <c r="J78" t="s">
        <v>48</v>
      </c>
      <c r="K78">
        <v>26</v>
      </c>
      <c r="M78" t="s">
        <v>48</v>
      </c>
      <c r="N78">
        <v>23500</v>
      </c>
    </row>
    <row r="79" spans="1:14">
      <c r="A79" t="s">
        <v>72</v>
      </c>
      <c r="B79" t="s">
        <v>289</v>
      </c>
      <c r="C79" t="s">
        <v>290</v>
      </c>
      <c r="D79">
        <v>27</v>
      </c>
      <c r="E79">
        <v>36308</v>
      </c>
      <c r="F79" t="s">
        <v>133</v>
      </c>
      <c r="G79" t="s">
        <v>134</v>
      </c>
      <c r="H79">
        <v>5300</v>
      </c>
      <c r="I79" t="s">
        <v>291</v>
      </c>
      <c r="J79" t="s">
        <v>242</v>
      </c>
      <c r="K79">
        <v>11</v>
      </c>
      <c r="M79" t="s">
        <v>242</v>
      </c>
      <c r="N79">
        <v>28500</v>
      </c>
    </row>
    <row r="80" spans="1:14">
      <c r="A80" t="s">
        <v>72</v>
      </c>
      <c r="B80" t="s">
        <v>292</v>
      </c>
      <c r="C80" t="s">
        <v>293</v>
      </c>
      <c r="D80">
        <v>55</v>
      </c>
      <c r="E80">
        <v>25874</v>
      </c>
      <c r="F80" t="s">
        <v>179</v>
      </c>
      <c r="G80" t="s">
        <v>294</v>
      </c>
      <c r="H80" s="14">
        <v>29100</v>
      </c>
      <c r="I80" t="s">
        <v>138</v>
      </c>
      <c r="J80" t="s">
        <v>48</v>
      </c>
      <c r="K80">
        <v>11</v>
      </c>
      <c r="M80" t="s">
        <v>48</v>
      </c>
      <c r="N80">
        <v>56000</v>
      </c>
    </row>
    <row r="81" spans="1:14">
      <c r="A81" t="s">
        <v>100</v>
      </c>
      <c r="B81" t="s">
        <v>295</v>
      </c>
      <c r="C81" t="s">
        <v>296</v>
      </c>
      <c r="D81">
        <v>53</v>
      </c>
      <c r="E81" s="12">
        <v>26812</v>
      </c>
      <c r="F81" t="s">
        <v>116</v>
      </c>
      <c r="G81" t="s">
        <v>117</v>
      </c>
      <c r="H81">
        <v>27800</v>
      </c>
      <c r="I81" s="13">
        <v>52000</v>
      </c>
      <c r="J81" t="s">
        <v>48</v>
      </c>
      <c r="K81">
        <v>43</v>
      </c>
      <c r="M81" t="s">
        <v>48</v>
      </c>
      <c r="N81">
        <v>93500</v>
      </c>
    </row>
    <row r="82" spans="1:14">
      <c r="A82" t="s">
        <v>72</v>
      </c>
      <c r="B82" t="s">
        <v>297</v>
      </c>
      <c r="C82" t="s">
        <v>298</v>
      </c>
      <c r="D82">
        <v>40</v>
      </c>
      <c r="E82">
        <v>31647</v>
      </c>
      <c r="F82" t="s">
        <v>157</v>
      </c>
      <c r="G82" t="s">
        <v>137</v>
      </c>
      <c r="H82" s="13">
        <v>18700</v>
      </c>
      <c r="I82">
        <v>15000</v>
      </c>
      <c r="K82">
        <v>26</v>
      </c>
      <c r="N82">
        <v>89500</v>
      </c>
    </row>
    <row r="83" spans="1:14">
      <c r="A83" t="s">
        <v>72</v>
      </c>
      <c r="B83" t="s">
        <v>299</v>
      </c>
      <c r="C83">
        <v>34400</v>
      </c>
      <c r="D83">
        <v>64</v>
      </c>
      <c r="E83">
        <v>22836</v>
      </c>
      <c r="F83" t="s">
        <v>300</v>
      </c>
      <c r="G83" t="s">
        <v>301</v>
      </c>
      <c r="H83">
        <v>24300</v>
      </c>
      <c r="I83" s="14">
        <v>16500</v>
      </c>
      <c r="J83" t="s">
        <v>49</v>
      </c>
      <c r="K83">
        <v>24</v>
      </c>
      <c r="M83" t="s">
        <v>49</v>
      </c>
      <c r="N83">
        <v>57000</v>
      </c>
    </row>
    <row r="84" spans="1:14">
      <c r="A84" t="s">
        <v>72</v>
      </c>
      <c r="B84" t="s">
        <v>302</v>
      </c>
      <c r="C84" t="s">
        <v>303</v>
      </c>
      <c r="D84">
        <v>25</v>
      </c>
      <c r="E84" s="12">
        <v>37091</v>
      </c>
      <c r="F84" t="s">
        <v>75</v>
      </c>
      <c r="G84" t="s">
        <v>76</v>
      </c>
      <c r="H84" s="14">
        <v>28800</v>
      </c>
      <c r="J84" t="s">
        <v>48</v>
      </c>
      <c r="K84">
        <v>12</v>
      </c>
      <c r="M84" t="s">
        <v>48</v>
      </c>
      <c r="N84">
        <v>46500</v>
      </c>
    </row>
    <row r="85" spans="1:14">
      <c r="A85" t="s">
        <v>72</v>
      </c>
      <c r="B85" t="s">
        <v>304</v>
      </c>
      <c r="C85" t="s">
        <v>305</v>
      </c>
      <c r="D85" t="s">
        <v>306</v>
      </c>
      <c r="E85" s="12">
        <v>26161</v>
      </c>
      <c r="F85" t="s">
        <v>168</v>
      </c>
      <c r="H85">
        <v>12200</v>
      </c>
      <c r="I85" t="s">
        <v>307</v>
      </c>
      <c r="J85" t="s">
        <v>88</v>
      </c>
      <c r="K85">
        <v>33</v>
      </c>
      <c r="M85" t="s">
        <v>88</v>
      </c>
      <c r="N85">
        <v>78000</v>
      </c>
    </row>
    <row r="86" spans="1:14">
      <c r="A86" t="s">
        <v>72</v>
      </c>
      <c r="B86" t="s">
        <v>308</v>
      </c>
      <c r="C86">
        <v>32000</v>
      </c>
      <c r="D86">
        <v>68</v>
      </c>
      <c r="E86">
        <v>21162</v>
      </c>
      <c r="F86" t="s">
        <v>136</v>
      </c>
      <c r="G86" t="s">
        <v>137</v>
      </c>
      <c r="H86" s="14">
        <v>11500</v>
      </c>
      <c r="I86">
        <v>17500</v>
      </c>
      <c r="J86" t="s">
        <v>48</v>
      </c>
      <c r="K86">
        <v>19</v>
      </c>
      <c r="M86" t="s">
        <v>48</v>
      </c>
      <c r="N86">
        <v>26000</v>
      </c>
    </row>
    <row r="87" spans="1:14">
      <c r="A87" t="s">
        <v>72</v>
      </c>
      <c r="B87" t="s">
        <v>309</v>
      </c>
      <c r="C87" t="s">
        <v>310</v>
      </c>
      <c r="D87">
        <v>37</v>
      </c>
      <c r="E87">
        <v>32412</v>
      </c>
      <c r="F87" t="s">
        <v>157</v>
      </c>
      <c r="G87" t="s">
        <v>172</v>
      </c>
      <c r="H87">
        <v>24700</v>
      </c>
      <c r="I87" s="13">
        <v>23000</v>
      </c>
      <c r="J87" t="s">
        <v>49</v>
      </c>
      <c r="K87" t="s">
        <v>311</v>
      </c>
      <c r="M87" t="s">
        <v>49</v>
      </c>
      <c r="N87">
        <v>37500</v>
      </c>
    </row>
    <row r="88" spans="1:14">
      <c r="A88" t="s">
        <v>72</v>
      </c>
      <c r="B88" t="s">
        <v>312</v>
      </c>
      <c r="C88" t="s">
        <v>313</v>
      </c>
      <c r="D88">
        <v>62</v>
      </c>
      <c r="E88">
        <v>23488</v>
      </c>
      <c r="F88" t="s">
        <v>75</v>
      </c>
      <c r="G88" t="s">
        <v>76</v>
      </c>
      <c r="H88" t="s">
        <v>180</v>
      </c>
      <c r="I88" t="s">
        <v>87</v>
      </c>
      <c r="J88" t="s">
        <v>48</v>
      </c>
      <c r="K88" t="s">
        <v>248</v>
      </c>
      <c r="M88" t="s">
        <v>48</v>
      </c>
      <c r="N88">
        <v>72000</v>
      </c>
    </row>
    <row r="89" spans="1:14">
      <c r="A89" t="s">
        <v>72</v>
      </c>
      <c r="B89" t="s">
        <v>314</v>
      </c>
      <c r="C89" t="s">
        <v>315</v>
      </c>
      <c r="D89" t="s">
        <v>316</v>
      </c>
      <c r="E89">
        <v>37491</v>
      </c>
      <c r="F89" t="s">
        <v>179</v>
      </c>
      <c r="G89" t="s">
        <v>294</v>
      </c>
      <c r="H89" s="13">
        <v>8900</v>
      </c>
      <c r="I89">
        <v>19500</v>
      </c>
      <c r="J89" t="s">
        <v>49</v>
      </c>
      <c r="K89">
        <v>33</v>
      </c>
      <c r="M89" t="s">
        <v>49</v>
      </c>
      <c r="N89">
        <v>96500</v>
      </c>
    </row>
    <row r="90" spans="1:14">
      <c r="A90" t="s">
        <v>72</v>
      </c>
      <c r="B90" t="s">
        <v>317</v>
      </c>
      <c r="C90" t="s">
        <v>318</v>
      </c>
      <c r="D90">
        <v>35</v>
      </c>
      <c r="F90" t="s">
        <v>143</v>
      </c>
      <c r="G90" t="s">
        <v>144</v>
      </c>
      <c r="H90">
        <v>28000</v>
      </c>
      <c r="I90" t="s">
        <v>319</v>
      </c>
      <c r="J90" t="s">
        <v>48</v>
      </c>
      <c r="K90">
        <v>39</v>
      </c>
      <c r="M90" t="s">
        <v>48</v>
      </c>
      <c r="N90">
        <v>32000</v>
      </c>
    </row>
    <row r="91" spans="1:14">
      <c r="A91" t="s">
        <v>72</v>
      </c>
      <c r="B91" t="s">
        <v>320</v>
      </c>
      <c r="C91" t="s">
        <v>321</v>
      </c>
      <c r="D91">
        <v>40</v>
      </c>
      <c r="E91">
        <v>31408</v>
      </c>
      <c r="F91" t="s">
        <v>322</v>
      </c>
      <c r="H91">
        <v>17400</v>
      </c>
      <c r="I91" s="14">
        <v>53000</v>
      </c>
      <c r="J91" t="s">
        <v>49</v>
      </c>
      <c r="K91">
        <v>20</v>
      </c>
      <c r="M91" t="s">
        <v>49</v>
      </c>
      <c r="N91">
        <v>52500</v>
      </c>
    </row>
    <row r="92" spans="1:14">
      <c r="A92" t="s">
        <v>169</v>
      </c>
      <c r="B92" t="s">
        <v>323</v>
      </c>
      <c r="C92" t="s">
        <v>324</v>
      </c>
      <c r="D92">
        <v>59</v>
      </c>
      <c r="E92">
        <v>24362</v>
      </c>
      <c r="F92" t="s">
        <v>165</v>
      </c>
      <c r="G92" t="s">
        <v>137</v>
      </c>
      <c r="H92">
        <v>18900</v>
      </c>
      <c r="I92">
        <v>1000</v>
      </c>
      <c r="J92" t="s">
        <v>177</v>
      </c>
      <c r="K92">
        <v>42</v>
      </c>
      <c r="M92" t="s">
        <v>177</v>
      </c>
      <c r="N92">
        <v>16500</v>
      </c>
    </row>
    <row r="93" spans="1:14">
      <c r="A93" t="s">
        <v>77</v>
      </c>
      <c r="B93" t="s">
        <v>325</v>
      </c>
      <c r="C93" t="s">
        <v>326</v>
      </c>
      <c r="E93">
        <v>19672</v>
      </c>
      <c r="F93" t="s">
        <v>179</v>
      </c>
      <c r="G93" t="s">
        <v>179</v>
      </c>
      <c r="H93">
        <v>21000</v>
      </c>
      <c r="I93">
        <v>0</v>
      </c>
      <c r="J93" t="s">
        <v>186</v>
      </c>
      <c r="K93">
        <v>11</v>
      </c>
      <c r="M93" t="s">
        <v>186</v>
      </c>
      <c r="N93">
        <v>75500</v>
      </c>
    </row>
    <row r="94" spans="1:14">
      <c r="A94" t="s">
        <v>72</v>
      </c>
      <c r="B94" t="s">
        <v>327</v>
      </c>
      <c r="C94" t="s">
        <v>328</v>
      </c>
      <c r="D94">
        <v>42</v>
      </c>
      <c r="E94" s="12">
        <v>30666</v>
      </c>
      <c r="F94" t="s">
        <v>84</v>
      </c>
      <c r="G94" t="s">
        <v>329</v>
      </c>
      <c r="H94">
        <v>6000</v>
      </c>
      <c r="I94" s="13">
        <v>55000</v>
      </c>
      <c r="J94" t="s">
        <v>48</v>
      </c>
      <c r="K94">
        <v>5</v>
      </c>
      <c r="M94" t="s">
        <v>48</v>
      </c>
      <c r="N94">
        <v>10000</v>
      </c>
    </row>
    <row r="95" spans="1:14">
      <c r="A95" t="s">
        <v>72</v>
      </c>
      <c r="B95" t="s">
        <v>330</v>
      </c>
      <c r="C95" t="s">
        <v>331</v>
      </c>
      <c r="D95">
        <v>60</v>
      </c>
      <c r="E95" s="12">
        <v>24082</v>
      </c>
      <c r="F95" t="s">
        <v>240</v>
      </c>
      <c r="G95" t="s">
        <v>241</v>
      </c>
      <c r="H95" s="14">
        <v>13800</v>
      </c>
      <c r="I95">
        <v>45500</v>
      </c>
      <c r="J95" t="s">
        <v>48</v>
      </c>
      <c r="K95">
        <v>30</v>
      </c>
      <c r="M95" t="s">
        <v>48</v>
      </c>
      <c r="N95">
        <v>17500</v>
      </c>
    </row>
    <row r="96" spans="1:14">
      <c r="A96" t="s">
        <v>72</v>
      </c>
      <c r="B96" t="s">
        <v>332</v>
      </c>
      <c r="C96" t="s">
        <v>333</v>
      </c>
      <c r="D96">
        <v>36</v>
      </c>
      <c r="E96">
        <v>32791</v>
      </c>
      <c r="F96" t="s">
        <v>168</v>
      </c>
      <c r="G96" t="s">
        <v>208</v>
      </c>
      <c r="H96">
        <v>23900</v>
      </c>
      <c r="I96">
        <v>58000</v>
      </c>
      <c r="J96" t="s">
        <v>48</v>
      </c>
      <c r="K96">
        <v>27</v>
      </c>
      <c r="M96" t="s">
        <v>48</v>
      </c>
      <c r="N96">
        <v>38000</v>
      </c>
    </row>
    <row r="97" spans="1:14">
      <c r="A97" t="s">
        <v>72</v>
      </c>
      <c r="B97" t="s">
        <v>334</v>
      </c>
      <c r="C97" t="s">
        <v>335</v>
      </c>
      <c r="D97">
        <v>74</v>
      </c>
      <c r="E97">
        <v>19121</v>
      </c>
      <c r="F97" t="s">
        <v>136</v>
      </c>
      <c r="G97" t="s">
        <v>137</v>
      </c>
      <c r="H97">
        <v>7300</v>
      </c>
      <c r="I97">
        <v>1000</v>
      </c>
      <c r="J97" t="s">
        <v>48</v>
      </c>
      <c r="K97">
        <v>3</v>
      </c>
      <c r="M97" t="s">
        <v>48</v>
      </c>
      <c r="N97">
        <v>50500</v>
      </c>
    </row>
    <row r="98" spans="1:14">
      <c r="A98" t="s">
        <v>169</v>
      </c>
      <c r="B98" t="s">
        <v>336</v>
      </c>
      <c r="C98">
        <v>20700</v>
      </c>
      <c r="D98">
        <v>66</v>
      </c>
      <c r="E98" s="12">
        <v>22151</v>
      </c>
      <c r="F98" t="s">
        <v>210</v>
      </c>
      <c r="H98" t="s">
        <v>337</v>
      </c>
      <c r="I98">
        <v>16000</v>
      </c>
      <c r="J98" t="s">
        <v>49</v>
      </c>
      <c r="K98">
        <v>44</v>
      </c>
      <c r="M98" t="s">
        <v>49</v>
      </c>
      <c r="N98">
        <v>59000</v>
      </c>
    </row>
    <row r="99" spans="1:14">
      <c r="A99" t="s">
        <v>72</v>
      </c>
      <c r="B99" t="s">
        <v>338</v>
      </c>
      <c r="C99" t="s">
        <v>339</v>
      </c>
      <c r="D99">
        <v>34</v>
      </c>
      <c r="E99">
        <v>33835</v>
      </c>
      <c r="F99" t="s">
        <v>340</v>
      </c>
      <c r="H99">
        <v>5100</v>
      </c>
      <c r="I99">
        <v>17000</v>
      </c>
      <c r="J99" t="s">
        <v>48</v>
      </c>
      <c r="K99" t="s">
        <v>341</v>
      </c>
      <c r="M99" t="s">
        <v>48</v>
      </c>
      <c r="N99">
        <v>4500</v>
      </c>
    </row>
    <row r="100" spans="1:14">
      <c r="A100" t="s">
        <v>72</v>
      </c>
      <c r="B100" t="s">
        <v>308</v>
      </c>
      <c r="C100" t="s">
        <v>342</v>
      </c>
      <c r="D100">
        <v>65</v>
      </c>
      <c r="E100" s="12">
        <v>22436</v>
      </c>
      <c r="F100" t="s">
        <v>75</v>
      </c>
      <c r="G100" t="s">
        <v>95</v>
      </c>
      <c r="H100">
        <v>12700</v>
      </c>
      <c r="I100" s="13">
        <v>60500</v>
      </c>
      <c r="J100" t="s">
        <v>48</v>
      </c>
      <c r="K100">
        <v>36</v>
      </c>
      <c r="M100" t="s">
        <v>48</v>
      </c>
      <c r="N100">
        <v>28000</v>
      </c>
    </row>
    <row r="101" spans="1:14">
      <c r="A101" t="s">
        <v>77</v>
      </c>
      <c r="B101" t="s">
        <v>343</v>
      </c>
      <c r="C101" t="s">
        <v>344</v>
      </c>
      <c r="D101">
        <v>68</v>
      </c>
      <c r="E101" s="12">
        <v>21205</v>
      </c>
      <c r="F101" t="s">
        <v>168</v>
      </c>
      <c r="G101" t="s">
        <v>144</v>
      </c>
      <c r="H101">
        <v>8200</v>
      </c>
      <c r="I101" s="13">
        <v>66000</v>
      </c>
      <c r="J101" t="s">
        <v>48</v>
      </c>
      <c r="K101">
        <v>16</v>
      </c>
      <c r="M101" t="s">
        <v>48</v>
      </c>
      <c r="N101">
        <v>84000</v>
      </c>
    </row>
    <row r="102" spans="1:14">
      <c r="A102" t="s">
        <v>77</v>
      </c>
      <c r="B102" t="s">
        <v>345</v>
      </c>
      <c r="C102" t="s">
        <v>346</v>
      </c>
      <c r="D102">
        <v>59</v>
      </c>
      <c r="E102" s="12">
        <v>24554</v>
      </c>
      <c r="F102" t="s">
        <v>116</v>
      </c>
      <c r="G102" t="s">
        <v>117</v>
      </c>
      <c r="H102" s="13">
        <v>15200</v>
      </c>
      <c r="I102">
        <v>11000</v>
      </c>
      <c r="J102" t="s">
        <v>242</v>
      </c>
      <c r="K102">
        <v>27</v>
      </c>
      <c r="M102" t="s">
        <v>242</v>
      </c>
      <c r="N102">
        <v>87000</v>
      </c>
    </row>
    <row r="103" spans="1:14">
      <c r="A103" t="s">
        <v>72</v>
      </c>
      <c r="B103" t="s">
        <v>347</v>
      </c>
      <c r="C103" t="s">
        <v>348</v>
      </c>
      <c r="D103">
        <v>29</v>
      </c>
      <c r="E103">
        <v>35600</v>
      </c>
      <c r="F103" t="s">
        <v>220</v>
      </c>
      <c r="G103" t="s">
        <v>329</v>
      </c>
      <c r="H103">
        <v>10000</v>
      </c>
      <c r="I103">
        <v>25500</v>
      </c>
      <c r="J103" t="s">
        <v>48</v>
      </c>
      <c r="K103">
        <v>15</v>
      </c>
      <c r="M103" t="s">
        <v>48</v>
      </c>
      <c r="N103">
        <v>66000</v>
      </c>
    </row>
    <row r="104" spans="1:14">
      <c r="A104" t="s">
        <v>72</v>
      </c>
      <c r="B104" t="s">
        <v>349</v>
      </c>
      <c r="C104" t="s">
        <v>350</v>
      </c>
      <c r="D104">
        <v>69</v>
      </c>
      <c r="E104">
        <v>20725</v>
      </c>
      <c r="F104" t="s">
        <v>133</v>
      </c>
      <c r="G104" t="s">
        <v>351</v>
      </c>
      <c r="H104">
        <v>8100</v>
      </c>
      <c r="I104">
        <v>27500</v>
      </c>
      <c r="J104" t="s">
        <v>242</v>
      </c>
      <c r="K104">
        <v>42</v>
      </c>
      <c r="M104" t="s">
        <v>242</v>
      </c>
      <c r="N104">
        <v>72500</v>
      </c>
    </row>
    <row r="105" spans="1:14">
      <c r="A105" t="s">
        <v>72</v>
      </c>
      <c r="B105" t="s">
        <v>287</v>
      </c>
      <c r="C105" t="s">
        <v>288</v>
      </c>
      <c r="D105">
        <v>37</v>
      </c>
      <c r="E105">
        <v>32543</v>
      </c>
      <c r="F105" t="s">
        <v>143</v>
      </c>
      <c r="G105" t="s">
        <v>144</v>
      </c>
      <c r="H105">
        <v>29200</v>
      </c>
      <c r="I105" s="13">
        <v>45000</v>
      </c>
      <c r="J105" t="s">
        <v>48</v>
      </c>
      <c r="K105">
        <v>26</v>
      </c>
      <c r="M105" t="s">
        <v>48</v>
      </c>
      <c r="N105">
        <v>78000</v>
      </c>
    </row>
    <row r="106" spans="1:14">
      <c r="A106" t="s">
        <v>77</v>
      </c>
      <c r="B106" t="s">
        <v>352</v>
      </c>
      <c r="C106" t="s">
        <v>353</v>
      </c>
      <c r="D106">
        <v>30</v>
      </c>
      <c r="E106" s="12">
        <v>35200</v>
      </c>
      <c r="F106" t="s">
        <v>122</v>
      </c>
      <c r="G106" t="s">
        <v>254</v>
      </c>
      <c r="H106">
        <v>26500</v>
      </c>
      <c r="I106">
        <v>14500</v>
      </c>
      <c r="J106">
        <v>0</v>
      </c>
      <c r="K106">
        <v>15</v>
      </c>
      <c r="M106">
        <v>0</v>
      </c>
      <c r="N106">
        <v>65500</v>
      </c>
    </row>
    <row r="107" spans="1:14">
      <c r="A107" t="s">
        <v>72</v>
      </c>
      <c r="B107" t="s">
        <v>354</v>
      </c>
      <c r="C107" t="s">
        <v>355</v>
      </c>
      <c r="D107">
        <v>58</v>
      </c>
      <c r="E107">
        <v>24905</v>
      </c>
      <c r="F107" t="s">
        <v>116</v>
      </c>
      <c r="G107" t="s">
        <v>254</v>
      </c>
      <c r="H107" s="14">
        <v>12400</v>
      </c>
      <c r="I107" s="14">
        <v>21500</v>
      </c>
      <c r="J107" t="s">
        <v>49</v>
      </c>
      <c r="K107" t="s">
        <v>356</v>
      </c>
      <c r="M107" t="s">
        <v>49</v>
      </c>
      <c r="N107">
        <v>80000</v>
      </c>
    </row>
    <row r="108" spans="1:14">
      <c r="A108" t="s">
        <v>72</v>
      </c>
      <c r="B108" t="s">
        <v>357</v>
      </c>
      <c r="C108">
        <v>24000</v>
      </c>
      <c r="D108">
        <v>47</v>
      </c>
      <c r="E108" s="12">
        <v>29031</v>
      </c>
      <c r="F108" t="s">
        <v>358</v>
      </c>
      <c r="H108" s="14">
        <v>28400</v>
      </c>
      <c r="I108">
        <v>78000</v>
      </c>
      <c r="J108" t="s">
        <v>48</v>
      </c>
      <c r="K108">
        <v>37</v>
      </c>
      <c r="M108" t="s">
        <v>48</v>
      </c>
      <c r="N108">
        <v>99000</v>
      </c>
    </row>
    <row r="109" spans="1:14">
      <c r="A109" t="s">
        <v>72</v>
      </c>
      <c r="B109" t="s">
        <v>359</v>
      </c>
      <c r="C109" t="s">
        <v>360</v>
      </c>
      <c r="D109">
        <v>31</v>
      </c>
      <c r="E109" s="12">
        <v>34852</v>
      </c>
      <c r="F109" t="s">
        <v>210</v>
      </c>
      <c r="H109">
        <v>20500</v>
      </c>
      <c r="I109" s="13">
        <v>47500</v>
      </c>
      <c r="J109" t="s">
        <v>48</v>
      </c>
      <c r="K109">
        <v>11</v>
      </c>
      <c r="M109" t="s">
        <v>48</v>
      </c>
      <c r="N109">
        <v>18500</v>
      </c>
    </row>
    <row r="110" spans="1:14">
      <c r="A110" t="s">
        <v>361</v>
      </c>
      <c r="B110" t="s">
        <v>362</v>
      </c>
      <c r="C110" t="s">
        <v>363</v>
      </c>
      <c r="D110">
        <v>63</v>
      </c>
      <c r="E110">
        <v>23084</v>
      </c>
      <c r="F110" t="s">
        <v>143</v>
      </c>
      <c r="G110" t="s">
        <v>144</v>
      </c>
      <c r="H110">
        <v>17300</v>
      </c>
      <c r="I110">
        <v>22000</v>
      </c>
      <c r="J110" t="s">
        <v>48</v>
      </c>
      <c r="K110">
        <v>10</v>
      </c>
      <c r="M110" t="s">
        <v>48</v>
      </c>
      <c r="N110">
        <v>97000</v>
      </c>
    </row>
    <row r="111" spans="1:14">
      <c r="A111" t="s">
        <v>72</v>
      </c>
      <c r="B111" t="s">
        <v>364</v>
      </c>
      <c r="C111">
        <v>12700</v>
      </c>
      <c r="D111">
        <v>26</v>
      </c>
      <c r="E111" s="12">
        <v>36518</v>
      </c>
      <c r="F111" t="s">
        <v>149</v>
      </c>
      <c r="G111" t="s">
        <v>137</v>
      </c>
      <c r="H111" s="13">
        <v>5000</v>
      </c>
      <c r="I111" t="s">
        <v>365</v>
      </c>
      <c r="J111" t="s">
        <v>48</v>
      </c>
      <c r="K111">
        <v>35</v>
      </c>
      <c r="M111" t="s">
        <v>48</v>
      </c>
      <c r="N111">
        <v>18500</v>
      </c>
    </row>
    <row r="112" spans="1:14">
      <c r="A112" t="s">
        <v>72</v>
      </c>
      <c r="B112" t="s">
        <v>366</v>
      </c>
      <c r="C112">
        <v>18000</v>
      </c>
      <c r="D112">
        <v>29</v>
      </c>
      <c r="E112">
        <v>35344</v>
      </c>
      <c r="F112" t="s">
        <v>75</v>
      </c>
      <c r="G112" t="s">
        <v>95</v>
      </c>
      <c r="H112">
        <v>19900</v>
      </c>
      <c r="I112">
        <v>49500</v>
      </c>
      <c r="J112" t="s">
        <v>49</v>
      </c>
      <c r="K112">
        <v>27</v>
      </c>
      <c r="M112" t="s">
        <v>49</v>
      </c>
      <c r="N112">
        <v>23000</v>
      </c>
    </row>
    <row r="113" spans="1:14">
      <c r="A113" t="s">
        <v>72</v>
      </c>
      <c r="B113" t="s">
        <v>367</v>
      </c>
      <c r="C113" t="s">
        <v>368</v>
      </c>
      <c r="D113">
        <v>51</v>
      </c>
      <c r="E113" s="12">
        <v>27413</v>
      </c>
      <c r="F113" t="s">
        <v>157</v>
      </c>
      <c r="G113" t="s">
        <v>150</v>
      </c>
      <c r="H113">
        <v>18500</v>
      </c>
      <c r="I113" s="14">
        <v>69500</v>
      </c>
      <c r="J113" t="s">
        <v>48</v>
      </c>
      <c r="K113" t="s">
        <v>369</v>
      </c>
      <c r="M113" t="s">
        <v>48</v>
      </c>
      <c r="N113">
        <v>18000</v>
      </c>
    </row>
    <row r="114" spans="1:14">
      <c r="A114" t="s">
        <v>72</v>
      </c>
      <c r="B114" t="s">
        <v>370</v>
      </c>
      <c r="C114" t="s">
        <v>371</v>
      </c>
      <c r="D114">
        <v>46</v>
      </c>
      <c r="E114" s="12">
        <v>29197</v>
      </c>
      <c r="F114" t="s">
        <v>116</v>
      </c>
      <c r="G114" t="s">
        <v>117</v>
      </c>
      <c r="H114">
        <v>3200</v>
      </c>
      <c r="I114">
        <v>0</v>
      </c>
      <c r="J114" t="s">
        <v>48</v>
      </c>
      <c r="K114">
        <v>16</v>
      </c>
      <c r="M114" t="s">
        <v>48</v>
      </c>
      <c r="N114">
        <v>61500</v>
      </c>
    </row>
    <row r="115" spans="1:14">
      <c r="A115" t="s">
        <v>72</v>
      </c>
      <c r="B115" t="s">
        <v>372</v>
      </c>
      <c r="C115" t="s">
        <v>373</v>
      </c>
      <c r="D115">
        <v>65</v>
      </c>
      <c r="E115" s="12">
        <v>22505</v>
      </c>
      <c r="F115" t="s">
        <v>149</v>
      </c>
      <c r="G115" t="s">
        <v>137</v>
      </c>
      <c r="H115" s="13">
        <v>29000</v>
      </c>
      <c r="I115">
        <v>28500</v>
      </c>
      <c r="J115" t="s">
        <v>48</v>
      </c>
      <c r="K115">
        <v>28</v>
      </c>
      <c r="M115" t="s">
        <v>48</v>
      </c>
      <c r="N115">
        <v>57500</v>
      </c>
    </row>
    <row r="116" spans="1:14">
      <c r="A116" t="s">
        <v>72</v>
      </c>
      <c r="B116" t="s">
        <v>374</v>
      </c>
      <c r="C116" t="s">
        <v>375</v>
      </c>
      <c r="D116">
        <v>26</v>
      </c>
      <c r="E116">
        <v>36475</v>
      </c>
      <c r="F116" t="s">
        <v>376</v>
      </c>
      <c r="H116">
        <v>13900</v>
      </c>
      <c r="I116" s="13">
        <v>53500</v>
      </c>
      <c r="J116" t="s">
        <v>48</v>
      </c>
      <c r="K116">
        <v>12</v>
      </c>
      <c r="M116" t="s">
        <v>48</v>
      </c>
      <c r="N116">
        <v>85000</v>
      </c>
    </row>
    <row r="117" spans="1:14">
      <c r="A117" t="s">
        <v>77</v>
      </c>
      <c r="B117" t="s">
        <v>377</v>
      </c>
      <c r="C117" t="s">
        <v>378</v>
      </c>
      <c r="D117">
        <v>63</v>
      </c>
      <c r="E117">
        <v>22994</v>
      </c>
      <c r="F117" t="s">
        <v>107</v>
      </c>
      <c r="G117" t="s">
        <v>113</v>
      </c>
      <c r="H117">
        <v>20000</v>
      </c>
      <c r="I117" s="13">
        <v>29500</v>
      </c>
      <c r="J117" t="s">
        <v>48</v>
      </c>
      <c r="K117">
        <v>42</v>
      </c>
      <c r="M117" t="s">
        <v>48</v>
      </c>
      <c r="N117">
        <v>5000</v>
      </c>
    </row>
    <row r="118" spans="1:14">
      <c r="A118" t="s">
        <v>72</v>
      </c>
      <c r="B118" t="s">
        <v>379</v>
      </c>
      <c r="C118">
        <v>27900</v>
      </c>
      <c r="D118">
        <v>71</v>
      </c>
      <c r="E118" s="12">
        <v>20094</v>
      </c>
      <c r="F118" t="s">
        <v>212</v>
      </c>
      <c r="G118" t="s">
        <v>144</v>
      </c>
      <c r="H118">
        <v>24100</v>
      </c>
      <c r="I118">
        <v>0</v>
      </c>
      <c r="J118" t="s">
        <v>242</v>
      </c>
      <c r="K118">
        <v>10</v>
      </c>
      <c r="M118" t="s">
        <v>242</v>
      </c>
      <c r="N118">
        <v>87000</v>
      </c>
    </row>
    <row r="119" spans="1:14">
      <c r="A119" t="s">
        <v>72</v>
      </c>
      <c r="B119" t="s">
        <v>380</v>
      </c>
      <c r="D119">
        <v>73</v>
      </c>
      <c r="E119">
        <v>19538</v>
      </c>
      <c r="F119" t="s">
        <v>84</v>
      </c>
      <c r="G119" t="s">
        <v>329</v>
      </c>
      <c r="H119">
        <v>12700</v>
      </c>
      <c r="I119" s="13">
        <v>79500</v>
      </c>
      <c r="J119" t="s">
        <v>48</v>
      </c>
      <c r="K119">
        <v>35</v>
      </c>
      <c r="M119" t="s">
        <v>48</v>
      </c>
      <c r="N119">
        <v>39000</v>
      </c>
    </row>
    <row r="120" spans="1:14">
      <c r="A120" t="s">
        <v>72</v>
      </c>
      <c r="B120" t="s">
        <v>381</v>
      </c>
      <c r="C120">
        <v>26400</v>
      </c>
      <c r="D120">
        <v>57</v>
      </c>
      <c r="E120">
        <v>25238</v>
      </c>
      <c r="F120" t="s">
        <v>376</v>
      </c>
      <c r="H120">
        <v>3200</v>
      </c>
      <c r="J120" t="s">
        <v>48</v>
      </c>
      <c r="K120">
        <v>18</v>
      </c>
      <c r="M120" t="s">
        <v>48</v>
      </c>
      <c r="N120">
        <v>64000</v>
      </c>
    </row>
    <row r="121" spans="1:14">
      <c r="A121" t="s">
        <v>72</v>
      </c>
      <c r="B121" t="s">
        <v>382</v>
      </c>
      <c r="C121">
        <v>9900</v>
      </c>
      <c r="D121">
        <v>64</v>
      </c>
      <c r="E121" s="12">
        <v>22828</v>
      </c>
      <c r="F121" t="s">
        <v>164</v>
      </c>
      <c r="G121" t="s">
        <v>141</v>
      </c>
      <c r="H121" s="13">
        <v>2900</v>
      </c>
      <c r="I121" s="13">
        <v>76000</v>
      </c>
      <c r="J121" t="s">
        <v>48</v>
      </c>
      <c r="K121">
        <v>32</v>
      </c>
      <c r="M121" t="s">
        <v>48</v>
      </c>
      <c r="N121">
        <v>72500</v>
      </c>
    </row>
    <row r="122" spans="1:14">
      <c r="A122" t="s">
        <v>77</v>
      </c>
      <c r="B122" t="s">
        <v>383</v>
      </c>
      <c r="C122">
        <v>16000</v>
      </c>
      <c r="D122">
        <v>73</v>
      </c>
      <c r="E122" s="12">
        <v>19299</v>
      </c>
      <c r="F122" t="s">
        <v>79</v>
      </c>
      <c r="G122" t="s">
        <v>130</v>
      </c>
      <c r="H122">
        <v>7100</v>
      </c>
      <c r="I122" s="13">
        <v>58000</v>
      </c>
      <c r="J122" t="s">
        <v>49</v>
      </c>
      <c r="K122">
        <v>22</v>
      </c>
      <c r="M122" t="s">
        <v>49</v>
      </c>
      <c r="N122">
        <v>46500</v>
      </c>
    </row>
    <row r="123" spans="1:14">
      <c r="A123" t="s">
        <v>72</v>
      </c>
      <c r="B123" t="s">
        <v>384</v>
      </c>
      <c r="C123" t="s">
        <v>385</v>
      </c>
      <c r="D123">
        <v>28</v>
      </c>
      <c r="E123" s="12">
        <v>35993</v>
      </c>
      <c r="F123" t="s">
        <v>98</v>
      </c>
      <c r="G123" t="s">
        <v>103</v>
      </c>
      <c r="H123" s="13">
        <v>13400</v>
      </c>
      <c r="I123" s="13">
        <v>54000</v>
      </c>
      <c r="J123" t="s">
        <v>48</v>
      </c>
      <c r="K123">
        <v>15</v>
      </c>
      <c r="M123" t="s">
        <v>48</v>
      </c>
      <c r="N123">
        <v>99000</v>
      </c>
    </row>
    <row r="124" spans="1:14">
      <c r="A124" t="s">
        <v>72</v>
      </c>
      <c r="B124" t="s">
        <v>386</v>
      </c>
      <c r="C124" t="s">
        <v>387</v>
      </c>
      <c r="D124">
        <v>26</v>
      </c>
      <c r="E124">
        <v>36622</v>
      </c>
      <c r="F124" t="s">
        <v>179</v>
      </c>
      <c r="G124" t="s">
        <v>179</v>
      </c>
      <c r="H124" t="s">
        <v>388</v>
      </c>
      <c r="I124" s="13">
        <v>65500</v>
      </c>
      <c r="J124" t="s">
        <v>389</v>
      </c>
      <c r="K124">
        <v>40</v>
      </c>
      <c r="M124" t="s">
        <v>389</v>
      </c>
      <c r="N124">
        <v>95500</v>
      </c>
    </row>
    <row r="125" spans="1:14">
      <c r="A125" t="s">
        <v>72</v>
      </c>
      <c r="B125" t="s">
        <v>390</v>
      </c>
      <c r="C125" t="s">
        <v>391</v>
      </c>
      <c r="D125">
        <v>69</v>
      </c>
      <c r="E125" s="12">
        <v>21051</v>
      </c>
      <c r="F125" t="s">
        <v>79</v>
      </c>
      <c r="G125" t="s">
        <v>80</v>
      </c>
      <c r="H125" t="s">
        <v>392</v>
      </c>
      <c r="I125">
        <v>40500</v>
      </c>
      <c r="J125" t="s">
        <v>48</v>
      </c>
      <c r="K125">
        <v>43</v>
      </c>
      <c r="M125" t="s">
        <v>48</v>
      </c>
      <c r="N125">
        <v>24500</v>
      </c>
    </row>
    <row r="126" spans="1:14">
      <c r="A126" t="s">
        <v>72</v>
      </c>
      <c r="B126" t="s">
        <v>393</v>
      </c>
      <c r="C126" t="s">
        <v>394</v>
      </c>
      <c r="D126">
        <v>67</v>
      </c>
      <c r="E126" s="12">
        <v>21624</v>
      </c>
      <c r="F126" t="s">
        <v>165</v>
      </c>
      <c r="G126" t="s">
        <v>150</v>
      </c>
      <c r="H126">
        <v>8500</v>
      </c>
      <c r="I126" s="13">
        <v>39500</v>
      </c>
      <c r="J126" t="s">
        <v>49</v>
      </c>
      <c r="M126" t="s">
        <v>49</v>
      </c>
      <c r="N126">
        <v>42000</v>
      </c>
    </row>
    <row r="127" spans="1:14">
      <c r="A127" t="s">
        <v>72</v>
      </c>
      <c r="B127" t="s">
        <v>395</v>
      </c>
      <c r="C127" t="s">
        <v>396</v>
      </c>
      <c r="D127">
        <v>53</v>
      </c>
      <c r="E127" s="12">
        <v>26584</v>
      </c>
      <c r="F127" t="s">
        <v>157</v>
      </c>
      <c r="G127" t="s">
        <v>137</v>
      </c>
      <c r="H127">
        <v>12200</v>
      </c>
      <c r="I127" s="13">
        <v>79500</v>
      </c>
      <c r="J127" t="s">
        <v>186</v>
      </c>
      <c r="K127">
        <v>45</v>
      </c>
      <c r="M127" t="s">
        <v>186</v>
      </c>
      <c r="N127">
        <v>57000</v>
      </c>
    </row>
    <row r="128" spans="1:14">
      <c r="A128" t="s">
        <v>72</v>
      </c>
      <c r="B128" t="s">
        <v>397</v>
      </c>
      <c r="C128" t="s">
        <v>398</v>
      </c>
      <c r="D128">
        <v>55</v>
      </c>
      <c r="E128">
        <v>25880</v>
      </c>
      <c r="F128" t="s">
        <v>79</v>
      </c>
      <c r="G128" t="s">
        <v>80</v>
      </c>
      <c r="H128">
        <v>27500</v>
      </c>
      <c r="I128">
        <v>14000</v>
      </c>
      <c r="J128" t="s">
        <v>48</v>
      </c>
      <c r="K128">
        <v>3</v>
      </c>
      <c r="M128" t="s">
        <v>48</v>
      </c>
      <c r="N128">
        <v>11500</v>
      </c>
    </row>
    <row r="129" spans="1:14">
      <c r="A129" t="s">
        <v>72</v>
      </c>
      <c r="B129" t="s">
        <v>334</v>
      </c>
      <c r="C129">
        <v>8900</v>
      </c>
      <c r="E129" s="12">
        <v>33473</v>
      </c>
      <c r="F129" t="s">
        <v>240</v>
      </c>
      <c r="G129" t="s">
        <v>241</v>
      </c>
      <c r="H129">
        <v>24000</v>
      </c>
      <c r="I129">
        <v>0</v>
      </c>
      <c r="J129" t="s">
        <v>49</v>
      </c>
      <c r="K129">
        <v>3</v>
      </c>
      <c r="M129" t="s">
        <v>49</v>
      </c>
      <c r="N129">
        <v>60000</v>
      </c>
    </row>
    <row r="130" spans="1:14">
      <c r="A130" t="s">
        <v>77</v>
      </c>
      <c r="B130" t="s">
        <v>275</v>
      </c>
      <c r="C130">
        <v>8300</v>
      </c>
      <c r="D130">
        <v>31</v>
      </c>
      <c r="E130">
        <v>34828</v>
      </c>
      <c r="F130" t="s">
        <v>220</v>
      </c>
      <c r="G130" t="s">
        <v>85</v>
      </c>
      <c r="H130" s="14">
        <v>24900</v>
      </c>
      <c r="I130">
        <v>72000</v>
      </c>
      <c r="J130" t="s">
        <v>48</v>
      </c>
      <c r="K130">
        <v>35</v>
      </c>
      <c r="M130" t="s">
        <v>48</v>
      </c>
      <c r="N130">
        <v>79000</v>
      </c>
    </row>
    <row r="131" spans="1:14">
      <c r="A131" t="s">
        <v>72</v>
      </c>
      <c r="B131" t="s">
        <v>399</v>
      </c>
      <c r="C131">
        <v>3800</v>
      </c>
      <c r="D131">
        <v>41</v>
      </c>
      <c r="E131" s="12">
        <v>30992</v>
      </c>
      <c r="F131" t="s">
        <v>98</v>
      </c>
      <c r="G131" t="s">
        <v>400</v>
      </c>
      <c r="H131" s="14">
        <v>28600</v>
      </c>
      <c r="I131" s="13">
        <v>67500</v>
      </c>
      <c r="J131" t="s">
        <v>48</v>
      </c>
      <c r="K131">
        <v>39</v>
      </c>
      <c r="M131" t="s">
        <v>48</v>
      </c>
      <c r="N131">
        <v>22000</v>
      </c>
    </row>
    <row r="132" spans="1:14">
      <c r="A132" t="s">
        <v>72</v>
      </c>
      <c r="B132" t="s">
        <v>401</v>
      </c>
      <c r="C132" t="s">
        <v>402</v>
      </c>
      <c r="D132">
        <v>56</v>
      </c>
      <c r="E132">
        <v>25671</v>
      </c>
      <c r="F132" t="s">
        <v>164</v>
      </c>
      <c r="G132" t="s">
        <v>134</v>
      </c>
      <c r="H132">
        <v>28300</v>
      </c>
      <c r="I132">
        <v>56000</v>
      </c>
      <c r="J132" t="s">
        <v>48</v>
      </c>
      <c r="K132">
        <v>6</v>
      </c>
      <c r="M132" t="s">
        <v>48</v>
      </c>
      <c r="N132">
        <v>77000</v>
      </c>
    </row>
    <row r="133" spans="1:14">
      <c r="A133" t="s">
        <v>72</v>
      </c>
      <c r="B133" t="s">
        <v>403</v>
      </c>
      <c r="C133">
        <v>37700</v>
      </c>
      <c r="D133">
        <v>23</v>
      </c>
      <c r="E133" s="12">
        <v>37566</v>
      </c>
      <c r="F133" t="s">
        <v>122</v>
      </c>
      <c r="G133" t="s">
        <v>254</v>
      </c>
      <c r="H133">
        <v>2600</v>
      </c>
      <c r="I133">
        <v>0</v>
      </c>
      <c r="J133" t="s">
        <v>49</v>
      </c>
      <c r="K133">
        <v>30</v>
      </c>
      <c r="M133" t="s">
        <v>49</v>
      </c>
      <c r="N133">
        <v>11000</v>
      </c>
    </row>
    <row r="134" spans="1:14">
      <c r="A134" t="s">
        <v>72</v>
      </c>
      <c r="B134" t="s">
        <v>404</v>
      </c>
      <c r="C134" t="s">
        <v>405</v>
      </c>
      <c r="D134">
        <v>25</v>
      </c>
      <c r="E134">
        <v>37137</v>
      </c>
      <c r="F134" t="s">
        <v>75</v>
      </c>
      <c r="G134" t="s">
        <v>76</v>
      </c>
      <c r="I134" s="14">
        <v>21000</v>
      </c>
      <c r="J134" t="s">
        <v>48</v>
      </c>
      <c r="K134">
        <v>34</v>
      </c>
      <c r="M134" t="s">
        <v>48</v>
      </c>
      <c r="N134">
        <v>7500</v>
      </c>
    </row>
    <row r="135" spans="1:14">
      <c r="A135" t="s">
        <v>72</v>
      </c>
      <c r="B135" t="s">
        <v>406</v>
      </c>
      <c r="C135" t="s">
        <v>407</v>
      </c>
      <c r="D135">
        <v>57</v>
      </c>
      <c r="E135">
        <v>25199</v>
      </c>
      <c r="F135" t="s">
        <v>143</v>
      </c>
      <c r="G135" t="s">
        <v>208</v>
      </c>
      <c r="H135" s="13">
        <v>20700</v>
      </c>
      <c r="I135">
        <v>64500</v>
      </c>
      <c r="J135" t="s">
        <v>48</v>
      </c>
      <c r="K135" t="s">
        <v>408</v>
      </c>
      <c r="M135" t="s">
        <v>48</v>
      </c>
      <c r="N135">
        <v>54500</v>
      </c>
    </row>
    <row r="136" spans="1:14">
      <c r="A136" t="s">
        <v>255</v>
      </c>
      <c r="B136" t="s">
        <v>409</v>
      </c>
      <c r="C136" t="s">
        <v>410</v>
      </c>
      <c r="D136">
        <v>73</v>
      </c>
      <c r="E136" s="12">
        <v>19314</v>
      </c>
      <c r="F136" t="s">
        <v>84</v>
      </c>
      <c r="G136" t="s">
        <v>411</v>
      </c>
      <c r="H136">
        <v>6100</v>
      </c>
      <c r="I136" t="s">
        <v>412</v>
      </c>
      <c r="J136" t="s">
        <v>48</v>
      </c>
      <c r="K136">
        <v>9</v>
      </c>
      <c r="M136" t="s">
        <v>48</v>
      </c>
      <c r="N136">
        <v>24500</v>
      </c>
    </row>
    <row r="137" spans="1:14">
      <c r="A137" t="s">
        <v>72</v>
      </c>
      <c r="B137" t="s">
        <v>413</v>
      </c>
      <c r="C137">
        <v>37000</v>
      </c>
      <c r="D137">
        <v>24</v>
      </c>
      <c r="E137" s="12">
        <v>37290</v>
      </c>
      <c r="F137" t="s">
        <v>168</v>
      </c>
      <c r="G137" t="s">
        <v>213</v>
      </c>
      <c r="H137" s="13">
        <v>6400</v>
      </c>
      <c r="I137" s="14">
        <v>41000</v>
      </c>
      <c r="J137" t="s">
        <v>48</v>
      </c>
      <c r="K137">
        <v>22</v>
      </c>
      <c r="M137" t="s">
        <v>48</v>
      </c>
      <c r="N137">
        <v>74500</v>
      </c>
    </row>
    <row r="138" spans="1:14">
      <c r="A138" t="s">
        <v>100</v>
      </c>
      <c r="B138" t="s">
        <v>414</v>
      </c>
      <c r="C138" t="s">
        <v>415</v>
      </c>
      <c r="D138">
        <v>47</v>
      </c>
      <c r="F138" t="s">
        <v>122</v>
      </c>
      <c r="H138" s="14">
        <v>11600</v>
      </c>
      <c r="I138" s="14">
        <v>63500</v>
      </c>
      <c r="J138">
        <v>0</v>
      </c>
      <c r="K138">
        <v>18</v>
      </c>
      <c r="M138">
        <v>0</v>
      </c>
      <c r="N138">
        <v>3000</v>
      </c>
    </row>
    <row r="139" spans="1:14">
      <c r="A139" t="s">
        <v>77</v>
      </c>
      <c r="B139" t="s">
        <v>416</v>
      </c>
      <c r="C139" t="s">
        <v>417</v>
      </c>
      <c r="D139">
        <v>52</v>
      </c>
      <c r="E139">
        <v>27186</v>
      </c>
      <c r="F139" t="s">
        <v>79</v>
      </c>
      <c r="G139" t="s">
        <v>183</v>
      </c>
      <c r="H139">
        <v>6400</v>
      </c>
      <c r="I139">
        <v>37000</v>
      </c>
      <c r="J139" t="s">
        <v>48</v>
      </c>
      <c r="K139">
        <v>1</v>
      </c>
      <c r="M139" t="s">
        <v>48</v>
      </c>
      <c r="N139">
        <v>87000</v>
      </c>
    </row>
    <row r="140" spans="1:14">
      <c r="A140" t="s">
        <v>77</v>
      </c>
      <c r="B140" t="s">
        <v>418</v>
      </c>
      <c r="C140">
        <v>26700</v>
      </c>
      <c r="D140">
        <v>54</v>
      </c>
      <c r="E140">
        <v>26453</v>
      </c>
      <c r="F140" t="s">
        <v>240</v>
      </c>
      <c r="G140" t="s">
        <v>241</v>
      </c>
      <c r="H140">
        <v>3900</v>
      </c>
      <c r="I140">
        <v>80000</v>
      </c>
      <c r="J140" t="s">
        <v>48</v>
      </c>
      <c r="K140" t="s">
        <v>419</v>
      </c>
      <c r="M140" t="s">
        <v>48</v>
      </c>
      <c r="N140">
        <v>30000</v>
      </c>
    </row>
    <row r="141" spans="1:14">
      <c r="A141" t="s">
        <v>72</v>
      </c>
      <c r="B141" t="s">
        <v>420</v>
      </c>
      <c r="C141" t="s">
        <v>421</v>
      </c>
      <c r="D141">
        <v>45</v>
      </c>
      <c r="E141" s="12">
        <v>29598</v>
      </c>
      <c r="F141" t="s">
        <v>98</v>
      </c>
      <c r="G141" t="s">
        <v>189</v>
      </c>
      <c r="H141">
        <v>22800</v>
      </c>
      <c r="J141" t="s">
        <v>48</v>
      </c>
      <c r="K141">
        <v>10</v>
      </c>
      <c r="M141" t="s">
        <v>48</v>
      </c>
      <c r="N141">
        <v>31000</v>
      </c>
    </row>
    <row r="142" spans="1:14">
      <c r="A142" t="s">
        <v>72</v>
      </c>
      <c r="B142" t="s">
        <v>422</v>
      </c>
      <c r="C142">
        <v>35200</v>
      </c>
      <c r="D142">
        <v>65</v>
      </c>
      <c r="E142">
        <v>22337</v>
      </c>
      <c r="F142" t="s">
        <v>136</v>
      </c>
      <c r="G142" t="s">
        <v>137</v>
      </c>
      <c r="H142">
        <v>3800</v>
      </c>
      <c r="I142">
        <v>49500</v>
      </c>
      <c r="J142" t="s">
        <v>48</v>
      </c>
      <c r="K142">
        <v>16</v>
      </c>
      <c r="M142" t="s">
        <v>48</v>
      </c>
      <c r="N142">
        <v>15500</v>
      </c>
    </row>
    <row r="143" spans="1:14">
      <c r="A143" t="s">
        <v>72</v>
      </c>
      <c r="B143" t="s">
        <v>423</v>
      </c>
      <c r="C143" t="s">
        <v>424</v>
      </c>
      <c r="D143">
        <v>66</v>
      </c>
      <c r="E143">
        <v>22151</v>
      </c>
      <c r="F143" t="s">
        <v>143</v>
      </c>
      <c r="G143" t="s">
        <v>144</v>
      </c>
      <c r="H143">
        <v>11800</v>
      </c>
      <c r="I143" s="13">
        <v>2000</v>
      </c>
      <c r="J143" t="s">
        <v>49</v>
      </c>
      <c r="K143">
        <v>23</v>
      </c>
      <c r="M143" t="s">
        <v>49</v>
      </c>
      <c r="N143">
        <v>72500</v>
      </c>
    </row>
    <row r="144" spans="1:14">
      <c r="A144" t="s">
        <v>77</v>
      </c>
      <c r="B144" t="s">
        <v>425</v>
      </c>
      <c r="C144" t="s">
        <v>426</v>
      </c>
      <c r="D144">
        <v>29</v>
      </c>
      <c r="E144">
        <v>35607</v>
      </c>
      <c r="F144" t="s">
        <v>149</v>
      </c>
      <c r="G144" t="s">
        <v>137</v>
      </c>
      <c r="H144">
        <v>13800</v>
      </c>
      <c r="I144">
        <v>41500</v>
      </c>
      <c r="J144" t="s">
        <v>48</v>
      </c>
      <c r="K144">
        <v>34</v>
      </c>
      <c r="M144" t="s">
        <v>48</v>
      </c>
      <c r="N144">
        <v>66000</v>
      </c>
    </row>
    <row r="145" spans="1:14">
      <c r="A145" t="s">
        <v>72</v>
      </c>
      <c r="B145" t="s">
        <v>427</v>
      </c>
      <c r="C145" t="s">
        <v>428</v>
      </c>
      <c r="D145">
        <v>22</v>
      </c>
      <c r="E145" s="12">
        <v>37904</v>
      </c>
      <c r="F145" t="s">
        <v>79</v>
      </c>
      <c r="G145" t="s">
        <v>80</v>
      </c>
      <c r="H145">
        <v>2300</v>
      </c>
      <c r="I145">
        <v>0</v>
      </c>
      <c r="J145" t="s">
        <v>49</v>
      </c>
      <c r="K145" t="s">
        <v>429</v>
      </c>
      <c r="M145" t="s">
        <v>49</v>
      </c>
      <c r="N145">
        <v>51500</v>
      </c>
    </row>
    <row r="146" spans="1:14">
      <c r="A146" t="s">
        <v>77</v>
      </c>
      <c r="B146" t="s">
        <v>430</v>
      </c>
      <c r="C146" t="s">
        <v>431</v>
      </c>
      <c r="D146">
        <v>29</v>
      </c>
      <c r="E146">
        <v>35598</v>
      </c>
      <c r="F146" t="s">
        <v>179</v>
      </c>
      <c r="G146" t="s">
        <v>179</v>
      </c>
      <c r="H146">
        <v>15500</v>
      </c>
      <c r="I146">
        <v>75000</v>
      </c>
      <c r="J146" t="s">
        <v>242</v>
      </c>
      <c r="K146">
        <v>25</v>
      </c>
      <c r="M146" t="s">
        <v>242</v>
      </c>
      <c r="N146">
        <v>47000</v>
      </c>
    </row>
    <row r="147" spans="1:14">
      <c r="A147" t="s">
        <v>72</v>
      </c>
      <c r="B147" t="s">
        <v>432</v>
      </c>
      <c r="C147" t="s">
        <v>433</v>
      </c>
      <c r="D147">
        <v>72</v>
      </c>
      <c r="E147">
        <v>19839</v>
      </c>
      <c r="F147" t="s">
        <v>75</v>
      </c>
      <c r="G147" t="s">
        <v>434</v>
      </c>
      <c r="H147" s="13">
        <v>3900</v>
      </c>
      <c r="I147">
        <v>27000</v>
      </c>
      <c r="J147" t="s">
        <v>48</v>
      </c>
      <c r="K147">
        <v>33</v>
      </c>
      <c r="M147" t="s">
        <v>48</v>
      </c>
      <c r="N147">
        <v>2000</v>
      </c>
    </row>
    <row r="148" spans="1:14">
      <c r="A148" t="s">
        <v>72</v>
      </c>
      <c r="B148" t="s">
        <v>435</v>
      </c>
      <c r="C148" t="s">
        <v>436</v>
      </c>
      <c r="D148">
        <v>58</v>
      </c>
      <c r="E148" s="12">
        <v>25066</v>
      </c>
      <c r="F148" t="s">
        <v>168</v>
      </c>
      <c r="G148" t="s">
        <v>213</v>
      </c>
      <c r="H148" s="14">
        <v>4500</v>
      </c>
      <c r="J148" t="s">
        <v>49</v>
      </c>
      <c r="K148">
        <v>31</v>
      </c>
      <c r="M148" t="s">
        <v>49</v>
      </c>
      <c r="N148">
        <v>97500</v>
      </c>
    </row>
    <row r="149" spans="1:14">
      <c r="A149" t="s">
        <v>169</v>
      </c>
      <c r="B149" t="s">
        <v>437</v>
      </c>
      <c r="C149">
        <v>20900</v>
      </c>
      <c r="D149">
        <v>33</v>
      </c>
      <c r="E149">
        <v>34021</v>
      </c>
      <c r="F149" t="s">
        <v>79</v>
      </c>
      <c r="G149" t="s">
        <v>80</v>
      </c>
      <c r="I149">
        <v>73500</v>
      </c>
      <c r="J149" t="s">
        <v>48</v>
      </c>
      <c r="K149">
        <v>33</v>
      </c>
      <c r="M149" t="s">
        <v>48</v>
      </c>
      <c r="N149">
        <v>95000</v>
      </c>
    </row>
    <row r="150" spans="1:14">
      <c r="A150" t="s">
        <v>72</v>
      </c>
      <c r="B150" t="s">
        <v>438</v>
      </c>
      <c r="C150">
        <v>36900</v>
      </c>
      <c r="D150">
        <v>61</v>
      </c>
      <c r="E150">
        <v>23928</v>
      </c>
      <c r="F150" t="s">
        <v>300</v>
      </c>
      <c r="G150" t="s">
        <v>80</v>
      </c>
      <c r="H150">
        <v>22900</v>
      </c>
      <c r="I150">
        <v>7500</v>
      </c>
      <c r="J150" t="s">
        <v>48</v>
      </c>
      <c r="K150">
        <v>12</v>
      </c>
      <c r="M150" t="s">
        <v>48</v>
      </c>
      <c r="N150">
        <v>73000</v>
      </c>
    </row>
    <row r="151" spans="1:14">
      <c r="A151" t="s">
        <v>72</v>
      </c>
      <c r="B151" t="s">
        <v>439</v>
      </c>
      <c r="C151" t="s">
        <v>440</v>
      </c>
      <c r="D151">
        <v>73</v>
      </c>
      <c r="E151">
        <v>19363</v>
      </c>
      <c r="F151" t="s">
        <v>168</v>
      </c>
      <c r="G151" t="s">
        <v>144</v>
      </c>
      <c r="H151" t="s">
        <v>118</v>
      </c>
      <c r="I151" s="13">
        <v>19000</v>
      </c>
      <c r="J151" t="s">
        <v>48</v>
      </c>
      <c r="K151">
        <v>0</v>
      </c>
      <c r="M151" t="s">
        <v>48</v>
      </c>
      <c r="N151">
        <v>17000</v>
      </c>
    </row>
    <row r="152" spans="1:14">
      <c r="A152" t="s">
        <v>77</v>
      </c>
      <c r="B152" t="s">
        <v>441</v>
      </c>
      <c r="C152">
        <v>6900</v>
      </c>
      <c r="D152">
        <v>51</v>
      </c>
      <c r="E152">
        <v>27590</v>
      </c>
      <c r="F152" t="s">
        <v>136</v>
      </c>
      <c r="G152" t="s">
        <v>137</v>
      </c>
      <c r="H152" s="14">
        <v>19400</v>
      </c>
      <c r="I152">
        <v>4000</v>
      </c>
      <c r="J152" t="s">
        <v>48</v>
      </c>
      <c r="K152">
        <v>30</v>
      </c>
      <c r="M152" t="s">
        <v>48</v>
      </c>
      <c r="N152">
        <v>38500</v>
      </c>
    </row>
    <row r="153" spans="1:14">
      <c r="A153" t="s">
        <v>72</v>
      </c>
      <c r="B153" t="s">
        <v>442</v>
      </c>
      <c r="C153" t="s">
        <v>443</v>
      </c>
      <c r="D153">
        <v>43</v>
      </c>
      <c r="E153" s="12">
        <v>30309</v>
      </c>
      <c r="F153" t="s">
        <v>240</v>
      </c>
      <c r="G153" t="s">
        <v>241</v>
      </c>
      <c r="H153" s="13">
        <v>18400</v>
      </c>
      <c r="I153">
        <v>62000</v>
      </c>
      <c r="J153" t="s">
        <v>48</v>
      </c>
      <c r="K153">
        <v>33</v>
      </c>
      <c r="M153" t="s">
        <v>48</v>
      </c>
      <c r="N153">
        <v>31000</v>
      </c>
    </row>
    <row r="154" spans="1:14">
      <c r="A154" t="s">
        <v>77</v>
      </c>
      <c r="B154" t="s">
        <v>444</v>
      </c>
      <c r="C154" t="s">
        <v>445</v>
      </c>
      <c r="D154">
        <v>63</v>
      </c>
      <c r="E154">
        <v>23119</v>
      </c>
      <c r="F154" t="s">
        <v>75</v>
      </c>
      <c r="G154" t="s">
        <v>95</v>
      </c>
      <c r="H154">
        <v>9300</v>
      </c>
      <c r="I154">
        <v>48500</v>
      </c>
      <c r="J154" t="s">
        <v>48</v>
      </c>
      <c r="K154">
        <v>28</v>
      </c>
      <c r="M154" t="s">
        <v>48</v>
      </c>
      <c r="N154">
        <v>20000</v>
      </c>
    </row>
    <row r="155" spans="1:14">
      <c r="A155" t="s">
        <v>77</v>
      </c>
      <c r="B155" t="s">
        <v>446</v>
      </c>
      <c r="C155" t="s">
        <v>447</v>
      </c>
      <c r="D155">
        <v>63</v>
      </c>
      <c r="E155" s="12">
        <v>22924</v>
      </c>
      <c r="F155" t="s">
        <v>122</v>
      </c>
      <c r="G155" t="s">
        <v>254</v>
      </c>
      <c r="H155">
        <v>29000</v>
      </c>
      <c r="I155" s="13">
        <v>36500</v>
      </c>
      <c r="J155" t="s">
        <v>48</v>
      </c>
      <c r="K155">
        <v>38</v>
      </c>
      <c r="M155" t="s">
        <v>48</v>
      </c>
      <c r="N155">
        <v>47000</v>
      </c>
    </row>
    <row r="156" spans="1:14">
      <c r="A156" t="s">
        <v>77</v>
      </c>
      <c r="B156" t="s">
        <v>448</v>
      </c>
      <c r="C156">
        <v>23700</v>
      </c>
      <c r="E156">
        <v>19234</v>
      </c>
      <c r="F156" t="s">
        <v>168</v>
      </c>
      <c r="G156" t="s">
        <v>144</v>
      </c>
      <c r="H156" s="13">
        <v>8900</v>
      </c>
      <c r="I156" s="13">
        <v>4000</v>
      </c>
      <c r="J156" t="s">
        <v>48</v>
      </c>
      <c r="K156">
        <v>38</v>
      </c>
      <c r="M156" t="s">
        <v>48</v>
      </c>
      <c r="N156">
        <v>22500</v>
      </c>
    </row>
    <row r="157" spans="1:14">
      <c r="B157" t="s">
        <v>449</v>
      </c>
      <c r="C157" t="s">
        <v>450</v>
      </c>
      <c r="D157">
        <v>61</v>
      </c>
      <c r="E157">
        <v>23813</v>
      </c>
      <c r="F157" t="s">
        <v>122</v>
      </c>
      <c r="G157" t="s">
        <v>117</v>
      </c>
      <c r="H157" s="13">
        <v>26300</v>
      </c>
      <c r="I157">
        <v>40000</v>
      </c>
      <c r="J157" t="s">
        <v>49</v>
      </c>
      <c r="K157" t="s">
        <v>311</v>
      </c>
      <c r="M157" t="s">
        <v>49</v>
      </c>
      <c r="N157">
        <v>16500</v>
      </c>
    </row>
    <row r="158" spans="1:14">
      <c r="A158" t="s">
        <v>72</v>
      </c>
      <c r="B158" t="s">
        <v>451</v>
      </c>
      <c r="C158" t="s">
        <v>452</v>
      </c>
      <c r="D158">
        <v>53</v>
      </c>
      <c r="E158" s="12">
        <v>26631</v>
      </c>
      <c r="F158" t="s">
        <v>240</v>
      </c>
      <c r="G158" t="s">
        <v>453</v>
      </c>
      <c r="H158" s="13">
        <v>22700</v>
      </c>
      <c r="I158">
        <v>42500</v>
      </c>
      <c r="J158" t="s">
        <v>49</v>
      </c>
      <c r="K158">
        <v>25</v>
      </c>
      <c r="M158" t="s">
        <v>49</v>
      </c>
      <c r="N158">
        <v>86000</v>
      </c>
    </row>
    <row r="159" spans="1:14">
      <c r="A159" t="s">
        <v>72</v>
      </c>
      <c r="B159" t="s">
        <v>454</v>
      </c>
      <c r="C159" t="s">
        <v>455</v>
      </c>
      <c r="D159">
        <v>48</v>
      </c>
      <c r="E159">
        <v>28673</v>
      </c>
      <c r="F159" t="s">
        <v>240</v>
      </c>
      <c r="G159" t="s">
        <v>453</v>
      </c>
      <c r="H159" s="13">
        <v>2300</v>
      </c>
      <c r="I159">
        <v>26500</v>
      </c>
      <c r="J159" t="s">
        <v>88</v>
      </c>
      <c r="K159">
        <v>44</v>
      </c>
      <c r="M159" t="s">
        <v>88</v>
      </c>
      <c r="N159">
        <v>81000</v>
      </c>
    </row>
    <row r="160" spans="1:14">
      <c r="A160" t="s">
        <v>77</v>
      </c>
      <c r="B160" t="s">
        <v>456</v>
      </c>
      <c r="C160" t="s">
        <v>457</v>
      </c>
      <c r="E160">
        <v>38001</v>
      </c>
      <c r="F160" t="s">
        <v>157</v>
      </c>
      <c r="G160" t="s">
        <v>150</v>
      </c>
      <c r="H160">
        <v>2100</v>
      </c>
      <c r="I160">
        <v>79500</v>
      </c>
      <c r="J160" t="s">
        <v>49</v>
      </c>
      <c r="K160">
        <v>29</v>
      </c>
      <c r="M160" t="s">
        <v>49</v>
      </c>
      <c r="N160">
        <v>64000</v>
      </c>
    </row>
    <row r="161" spans="1:14">
      <c r="A161" t="s">
        <v>77</v>
      </c>
      <c r="B161" t="s">
        <v>458</v>
      </c>
      <c r="C161" t="s">
        <v>459</v>
      </c>
      <c r="D161">
        <v>33</v>
      </c>
      <c r="E161" s="12">
        <v>33955</v>
      </c>
      <c r="F161" t="s">
        <v>165</v>
      </c>
      <c r="G161" t="s">
        <v>137</v>
      </c>
      <c r="H161">
        <v>25700</v>
      </c>
      <c r="I161">
        <v>35000</v>
      </c>
      <c r="J161" t="s">
        <v>48</v>
      </c>
      <c r="K161">
        <v>40</v>
      </c>
      <c r="M161" t="s">
        <v>48</v>
      </c>
      <c r="N161">
        <v>1000</v>
      </c>
    </row>
    <row r="162" spans="1:14">
      <c r="A162" t="s">
        <v>77</v>
      </c>
      <c r="B162" t="s">
        <v>460</v>
      </c>
      <c r="C162">
        <v>27300</v>
      </c>
      <c r="D162">
        <v>66</v>
      </c>
      <c r="E162">
        <v>21873</v>
      </c>
      <c r="F162" t="s">
        <v>157</v>
      </c>
      <c r="G162" t="s">
        <v>137</v>
      </c>
      <c r="H162" s="13">
        <v>9900</v>
      </c>
      <c r="I162" t="s">
        <v>461</v>
      </c>
      <c r="J162" t="s">
        <v>48</v>
      </c>
      <c r="K162">
        <v>13</v>
      </c>
      <c r="M162" t="s">
        <v>48</v>
      </c>
      <c r="N162">
        <v>37000</v>
      </c>
    </row>
    <row r="163" spans="1:14">
      <c r="A163" t="s">
        <v>169</v>
      </c>
      <c r="B163" t="s">
        <v>462</v>
      </c>
      <c r="C163">
        <v>33700</v>
      </c>
      <c r="D163">
        <v>44</v>
      </c>
      <c r="E163">
        <v>30167</v>
      </c>
      <c r="F163" t="s">
        <v>143</v>
      </c>
      <c r="H163">
        <v>5500</v>
      </c>
      <c r="I163" s="13">
        <v>26000</v>
      </c>
      <c r="J163" t="s">
        <v>48</v>
      </c>
      <c r="K163" t="s">
        <v>463</v>
      </c>
      <c r="M163" t="s">
        <v>48</v>
      </c>
      <c r="N163">
        <v>64000</v>
      </c>
    </row>
    <row r="164" spans="1:14">
      <c r="A164" t="s">
        <v>77</v>
      </c>
      <c r="B164" t="s">
        <v>464</v>
      </c>
      <c r="C164" t="s">
        <v>465</v>
      </c>
      <c r="D164">
        <v>33</v>
      </c>
      <c r="E164" s="12">
        <v>34154</v>
      </c>
      <c r="F164" t="s">
        <v>136</v>
      </c>
      <c r="G164" t="s">
        <v>137</v>
      </c>
      <c r="H164">
        <v>2400</v>
      </c>
      <c r="I164" s="13">
        <v>78000</v>
      </c>
      <c r="J164" t="s">
        <v>48</v>
      </c>
      <c r="K164">
        <v>6</v>
      </c>
      <c r="M164" t="s">
        <v>48</v>
      </c>
      <c r="N164">
        <v>28000</v>
      </c>
    </row>
    <row r="165" spans="1:14">
      <c r="A165" t="s">
        <v>72</v>
      </c>
      <c r="B165" t="s">
        <v>466</v>
      </c>
      <c r="C165" t="s">
        <v>467</v>
      </c>
      <c r="D165">
        <v>51</v>
      </c>
      <c r="E165" s="12">
        <v>27505</v>
      </c>
      <c r="F165" t="s">
        <v>468</v>
      </c>
      <c r="H165" s="13">
        <v>7200</v>
      </c>
      <c r="I165" t="s">
        <v>469</v>
      </c>
      <c r="J165" t="s">
        <v>49</v>
      </c>
      <c r="K165">
        <v>40</v>
      </c>
      <c r="M165" t="s">
        <v>49</v>
      </c>
      <c r="N165">
        <v>5500</v>
      </c>
    </row>
    <row r="166" spans="1:14">
      <c r="A166" t="s">
        <v>77</v>
      </c>
      <c r="B166" t="s">
        <v>470</v>
      </c>
      <c r="D166">
        <v>61</v>
      </c>
      <c r="E166">
        <v>23932</v>
      </c>
      <c r="F166" t="s">
        <v>133</v>
      </c>
      <c r="G166" t="s">
        <v>134</v>
      </c>
      <c r="H166">
        <v>4100</v>
      </c>
      <c r="I166">
        <v>78000</v>
      </c>
      <c r="J166" t="s">
        <v>48</v>
      </c>
      <c r="K166">
        <v>25</v>
      </c>
      <c r="M166" t="s">
        <v>48</v>
      </c>
      <c r="N166">
        <v>48000</v>
      </c>
    </row>
    <row r="167" spans="1:14">
      <c r="A167" t="s">
        <v>72</v>
      </c>
      <c r="B167" t="s">
        <v>471</v>
      </c>
      <c r="C167">
        <v>18800</v>
      </c>
      <c r="D167">
        <v>43</v>
      </c>
      <c r="E167">
        <v>30355</v>
      </c>
      <c r="F167" t="s">
        <v>149</v>
      </c>
      <c r="G167" t="s">
        <v>137</v>
      </c>
      <c r="H167" s="13">
        <v>21700</v>
      </c>
      <c r="I167">
        <v>31000</v>
      </c>
      <c r="J167" t="s">
        <v>48</v>
      </c>
      <c r="K167">
        <v>27</v>
      </c>
      <c r="M167" t="s">
        <v>48</v>
      </c>
      <c r="N167">
        <v>45500</v>
      </c>
    </row>
    <row r="168" spans="1:14">
      <c r="A168" t="s">
        <v>72</v>
      </c>
      <c r="B168" t="s">
        <v>472</v>
      </c>
      <c r="C168" t="s">
        <v>473</v>
      </c>
      <c r="D168">
        <v>56</v>
      </c>
      <c r="E168" s="12">
        <v>25808</v>
      </c>
      <c r="F168" t="s">
        <v>143</v>
      </c>
      <c r="G168" t="s">
        <v>144</v>
      </c>
      <c r="H168">
        <v>5400</v>
      </c>
      <c r="I168">
        <v>61000</v>
      </c>
      <c r="J168" t="s">
        <v>48</v>
      </c>
      <c r="K168">
        <v>12</v>
      </c>
      <c r="M168" t="s">
        <v>48</v>
      </c>
      <c r="N168">
        <v>96500</v>
      </c>
    </row>
    <row r="169" spans="1:14">
      <c r="A169" t="s">
        <v>100</v>
      </c>
      <c r="B169" t="s">
        <v>474</v>
      </c>
      <c r="C169">
        <v>10200</v>
      </c>
      <c r="D169">
        <v>35</v>
      </c>
      <c r="E169" s="12">
        <v>33444</v>
      </c>
      <c r="F169" t="s">
        <v>84</v>
      </c>
      <c r="G169" t="s">
        <v>85</v>
      </c>
      <c r="H169" s="14">
        <v>8400</v>
      </c>
      <c r="I169">
        <v>62500</v>
      </c>
      <c r="J169" t="s">
        <v>48</v>
      </c>
      <c r="K169">
        <v>31</v>
      </c>
      <c r="M169" t="s">
        <v>48</v>
      </c>
      <c r="N169">
        <v>83500</v>
      </c>
    </row>
    <row r="170" spans="1:14">
      <c r="A170" t="s">
        <v>77</v>
      </c>
      <c r="B170" t="s">
        <v>475</v>
      </c>
      <c r="C170" t="s">
        <v>476</v>
      </c>
      <c r="D170">
        <v>44</v>
      </c>
      <c r="E170">
        <v>29948</v>
      </c>
      <c r="F170" t="s">
        <v>179</v>
      </c>
      <c r="G170" t="s">
        <v>179</v>
      </c>
      <c r="I170">
        <v>0</v>
      </c>
      <c r="J170" t="s">
        <v>48</v>
      </c>
      <c r="K170">
        <v>4</v>
      </c>
      <c r="M170" t="s">
        <v>48</v>
      </c>
      <c r="N170">
        <v>80000</v>
      </c>
    </row>
    <row r="171" spans="1:14">
      <c r="A171" t="s">
        <v>77</v>
      </c>
      <c r="B171" t="s">
        <v>477</v>
      </c>
      <c r="C171" t="s">
        <v>478</v>
      </c>
      <c r="D171">
        <v>31</v>
      </c>
      <c r="E171" s="12">
        <v>34738</v>
      </c>
      <c r="F171" t="s">
        <v>143</v>
      </c>
      <c r="G171" t="s">
        <v>144</v>
      </c>
      <c r="H171">
        <v>22600</v>
      </c>
      <c r="I171">
        <v>58000</v>
      </c>
      <c r="J171" t="s">
        <v>186</v>
      </c>
      <c r="K171" t="s">
        <v>479</v>
      </c>
      <c r="M171" t="s">
        <v>186</v>
      </c>
      <c r="N171">
        <v>26500</v>
      </c>
    </row>
    <row r="172" spans="1:14">
      <c r="A172" t="s">
        <v>77</v>
      </c>
      <c r="B172" t="s">
        <v>211</v>
      </c>
      <c r="C172">
        <v>4000</v>
      </c>
      <c r="D172">
        <v>48</v>
      </c>
      <c r="E172" s="12">
        <v>28663</v>
      </c>
      <c r="F172" t="s">
        <v>220</v>
      </c>
      <c r="G172" t="s">
        <v>85</v>
      </c>
      <c r="H172">
        <v>24700</v>
      </c>
      <c r="I172">
        <v>30500</v>
      </c>
      <c r="J172" t="s">
        <v>48</v>
      </c>
      <c r="K172">
        <v>34</v>
      </c>
      <c r="M172" t="s">
        <v>48</v>
      </c>
      <c r="N172">
        <v>87500</v>
      </c>
    </row>
    <row r="173" spans="1:14">
      <c r="A173" t="s">
        <v>77</v>
      </c>
      <c r="B173" t="s">
        <v>480</v>
      </c>
      <c r="C173" t="s">
        <v>481</v>
      </c>
      <c r="D173">
        <v>30</v>
      </c>
      <c r="E173">
        <v>35213</v>
      </c>
      <c r="F173" t="s">
        <v>340</v>
      </c>
      <c r="H173">
        <v>3900</v>
      </c>
      <c r="I173">
        <v>45000</v>
      </c>
      <c r="J173" t="s">
        <v>48</v>
      </c>
      <c r="K173">
        <v>34</v>
      </c>
      <c r="M173" t="s">
        <v>48</v>
      </c>
      <c r="N173">
        <v>41500</v>
      </c>
    </row>
    <row r="174" spans="1:14">
      <c r="A174" t="s">
        <v>77</v>
      </c>
      <c r="B174" t="s">
        <v>482</v>
      </c>
      <c r="C174" t="s">
        <v>483</v>
      </c>
      <c r="D174">
        <v>21</v>
      </c>
      <c r="E174" s="12">
        <v>38328</v>
      </c>
      <c r="F174" t="s">
        <v>107</v>
      </c>
      <c r="G174" t="s">
        <v>262</v>
      </c>
      <c r="H174">
        <v>4400</v>
      </c>
      <c r="I174">
        <v>23500</v>
      </c>
      <c r="J174" t="s">
        <v>49</v>
      </c>
      <c r="K174">
        <v>31</v>
      </c>
      <c r="M174" t="s">
        <v>49</v>
      </c>
      <c r="N174">
        <v>91000</v>
      </c>
    </row>
    <row r="175" spans="1:14">
      <c r="A175" t="s">
        <v>72</v>
      </c>
      <c r="B175" t="s">
        <v>484</v>
      </c>
      <c r="C175">
        <v>30000</v>
      </c>
      <c r="D175">
        <v>48</v>
      </c>
      <c r="E175">
        <v>28509</v>
      </c>
      <c r="F175" t="s">
        <v>164</v>
      </c>
      <c r="G175" t="s">
        <v>141</v>
      </c>
      <c r="H175" t="s">
        <v>485</v>
      </c>
      <c r="I175" s="13">
        <v>9000</v>
      </c>
      <c r="J175">
        <v>0</v>
      </c>
      <c r="K175">
        <v>28</v>
      </c>
      <c r="M175">
        <v>0</v>
      </c>
      <c r="N175">
        <v>80000</v>
      </c>
    </row>
    <row r="176" spans="1:14">
      <c r="A176" t="s">
        <v>72</v>
      </c>
      <c r="B176" t="s">
        <v>486</v>
      </c>
      <c r="C176" t="s">
        <v>487</v>
      </c>
      <c r="E176">
        <v>25925</v>
      </c>
      <c r="F176" t="s">
        <v>107</v>
      </c>
      <c r="G176" t="s">
        <v>262</v>
      </c>
      <c r="H176" s="13">
        <v>20200</v>
      </c>
      <c r="I176">
        <v>61000</v>
      </c>
      <c r="J176" t="s">
        <v>48</v>
      </c>
      <c r="K176">
        <v>10</v>
      </c>
      <c r="M176" t="s">
        <v>48</v>
      </c>
      <c r="N176">
        <v>6500</v>
      </c>
    </row>
    <row r="177" spans="1:14">
      <c r="B177" t="s">
        <v>488</v>
      </c>
      <c r="C177" t="s">
        <v>489</v>
      </c>
      <c r="D177">
        <v>56</v>
      </c>
      <c r="E177" s="12">
        <v>25705</v>
      </c>
      <c r="F177" t="s">
        <v>220</v>
      </c>
      <c r="G177" t="s">
        <v>85</v>
      </c>
      <c r="H177" s="13">
        <v>11100</v>
      </c>
      <c r="I177" s="13">
        <v>13000</v>
      </c>
      <c r="J177" t="s">
        <v>48</v>
      </c>
      <c r="K177">
        <v>38</v>
      </c>
      <c r="M177" t="s">
        <v>48</v>
      </c>
      <c r="N177">
        <v>88000</v>
      </c>
    </row>
    <row r="178" spans="1:14">
      <c r="A178" t="s">
        <v>72</v>
      </c>
      <c r="B178" t="s">
        <v>490</v>
      </c>
      <c r="C178" t="s">
        <v>491</v>
      </c>
      <c r="D178">
        <v>62</v>
      </c>
      <c r="E178" s="12">
        <v>23337</v>
      </c>
      <c r="F178" t="s">
        <v>84</v>
      </c>
      <c r="G178" t="s">
        <v>85</v>
      </c>
      <c r="H178">
        <v>11900</v>
      </c>
      <c r="I178" s="14">
        <v>58500</v>
      </c>
      <c r="J178" t="s">
        <v>48</v>
      </c>
      <c r="K178">
        <v>37</v>
      </c>
      <c r="M178" t="s">
        <v>48</v>
      </c>
      <c r="N178">
        <v>48000</v>
      </c>
    </row>
    <row r="179" spans="1:14">
      <c r="A179" t="s">
        <v>72</v>
      </c>
      <c r="B179" t="s">
        <v>492</v>
      </c>
      <c r="C179" t="s">
        <v>493</v>
      </c>
      <c r="D179">
        <v>26</v>
      </c>
      <c r="E179">
        <v>36619</v>
      </c>
      <c r="F179" t="s">
        <v>164</v>
      </c>
      <c r="G179" t="s">
        <v>134</v>
      </c>
      <c r="H179" t="s">
        <v>494</v>
      </c>
      <c r="I179">
        <v>42500</v>
      </c>
      <c r="J179" t="s">
        <v>49</v>
      </c>
      <c r="K179">
        <v>29</v>
      </c>
      <c r="M179" t="s">
        <v>49</v>
      </c>
      <c r="N179">
        <v>66000</v>
      </c>
    </row>
    <row r="180" spans="1:14">
      <c r="A180" t="s">
        <v>72</v>
      </c>
      <c r="B180" t="s">
        <v>495</v>
      </c>
      <c r="C180" t="s">
        <v>496</v>
      </c>
      <c r="D180">
        <v>30</v>
      </c>
      <c r="E180" s="12">
        <v>35109</v>
      </c>
      <c r="F180" t="s">
        <v>79</v>
      </c>
      <c r="G180" t="s">
        <v>130</v>
      </c>
      <c r="H180">
        <v>2600</v>
      </c>
      <c r="I180">
        <v>62000</v>
      </c>
      <c r="J180" t="s">
        <v>48</v>
      </c>
      <c r="K180">
        <v>22</v>
      </c>
      <c r="M180" t="s">
        <v>48</v>
      </c>
      <c r="N180">
        <v>62000</v>
      </c>
    </row>
    <row r="181" spans="1:14">
      <c r="A181" t="s">
        <v>72</v>
      </c>
      <c r="B181" t="s">
        <v>497</v>
      </c>
      <c r="C181" t="s">
        <v>498</v>
      </c>
      <c r="E181" s="12">
        <v>19168</v>
      </c>
      <c r="F181" t="s">
        <v>107</v>
      </c>
      <c r="G181" t="s">
        <v>127</v>
      </c>
      <c r="H181">
        <v>25000</v>
      </c>
      <c r="I181">
        <v>0</v>
      </c>
      <c r="J181" t="s">
        <v>48</v>
      </c>
      <c r="K181">
        <v>3</v>
      </c>
      <c r="M181" t="s">
        <v>48</v>
      </c>
      <c r="N181">
        <v>2500</v>
      </c>
    </row>
    <row r="182" spans="1:14">
      <c r="A182" t="s">
        <v>77</v>
      </c>
      <c r="B182" t="s">
        <v>499</v>
      </c>
      <c r="C182" t="s">
        <v>500</v>
      </c>
      <c r="D182">
        <v>65</v>
      </c>
      <c r="E182">
        <v>22205</v>
      </c>
      <c r="F182" t="s">
        <v>136</v>
      </c>
      <c r="G182" t="s">
        <v>137</v>
      </c>
      <c r="H182">
        <v>19800</v>
      </c>
      <c r="I182" s="14">
        <v>78500</v>
      </c>
      <c r="J182" t="s">
        <v>48</v>
      </c>
      <c r="K182">
        <v>34</v>
      </c>
      <c r="M182" t="s">
        <v>48</v>
      </c>
      <c r="N182">
        <v>23000</v>
      </c>
    </row>
    <row r="183" spans="1:14">
      <c r="A183" t="s">
        <v>77</v>
      </c>
      <c r="B183" t="s">
        <v>501</v>
      </c>
      <c r="C183" t="s">
        <v>502</v>
      </c>
      <c r="D183">
        <v>58</v>
      </c>
      <c r="E183" s="12">
        <v>24726</v>
      </c>
      <c r="F183" t="s">
        <v>116</v>
      </c>
      <c r="G183" t="s">
        <v>117</v>
      </c>
      <c r="H183" t="s">
        <v>503</v>
      </c>
      <c r="I183">
        <v>40000</v>
      </c>
      <c r="J183" t="s">
        <v>48</v>
      </c>
      <c r="K183">
        <v>16</v>
      </c>
      <c r="M183" t="s">
        <v>48</v>
      </c>
      <c r="N183">
        <v>98500</v>
      </c>
    </row>
    <row r="184" spans="1:14">
      <c r="A184" t="s">
        <v>72</v>
      </c>
      <c r="B184" t="s">
        <v>504</v>
      </c>
      <c r="C184" t="s">
        <v>505</v>
      </c>
      <c r="D184">
        <v>45</v>
      </c>
      <c r="E184">
        <v>29769</v>
      </c>
      <c r="F184" t="s">
        <v>79</v>
      </c>
      <c r="G184" t="s">
        <v>183</v>
      </c>
      <c r="H184">
        <v>24400</v>
      </c>
      <c r="I184" s="13">
        <v>7500</v>
      </c>
      <c r="J184" t="s">
        <v>186</v>
      </c>
      <c r="K184">
        <v>13</v>
      </c>
      <c r="M184" t="s">
        <v>186</v>
      </c>
      <c r="N184">
        <v>95000</v>
      </c>
    </row>
    <row r="185" spans="1:14">
      <c r="A185" t="s">
        <v>72</v>
      </c>
      <c r="B185" t="s">
        <v>506</v>
      </c>
      <c r="C185">
        <v>34800</v>
      </c>
      <c r="D185">
        <v>26</v>
      </c>
      <c r="E185">
        <v>36596</v>
      </c>
      <c r="F185" t="s">
        <v>149</v>
      </c>
      <c r="G185" t="s">
        <v>172</v>
      </c>
      <c r="H185">
        <v>3500</v>
      </c>
      <c r="I185">
        <v>50000</v>
      </c>
      <c r="J185">
        <v>0</v>
      </c>
      <c r="K185">
        <v>40</v>
      </c>
      <c r="M185">
        <v>0</v>
      </c>
      <c r="N185">
        <v>46500</v>
      </c>
    </row>
    <row r="186" spans="1:14">
      <c r="A186" t="s">
        <v>72</v>
      </c>
      <c r="B186" t="s">
        <v>507</v>
      </c>
      <c r="C186" t="s">
        <v>508</v>
      </c>
      <c r="D186">
        <v>42</v>
      </c>
      <c r="E186">
        <v>30898</v>
      </c>
      <c r="F186" t="s">
        <v>98</v>
      </c>
      <c r="H186">
        <v>20800</v>
      </c>
      <c r="I186" s="13">
        <v>54000</v>
      </c>
      <c r="J186" t="s">
        <v>48</v>
      </c>
      <c r="K186">
        <v>4</v>
      </c>
      <c r="M186" t="s">
        <v>48</v>
      </c>
      <c r="N186">
        <v>73500</v>
      </c>
    </row>
    <row r="187" spans="1:14">
      <c r="A187" t="s">
        <v>77</v>
      </c>
      <c r="B187" t="s">
        <v>509</v>
      </c>
      <c r="C187" t="s">
        <v>510</v>
      </c>
      <c r="D187">
        <v>66</v>
      </c>
      <c r="E187" s="12">
        <v>21954</v>
      </c>
      <c r="F187" t="s">
        <v>220</v>
      </c>
      <c r="G187" t="s">
        <v>160</v>
      </c>
      <c r="H187">
        <v>3400</v>
      </c>
      <c r="I187">
        <v>78000</v>
      </c>
      <c r="J187" t="s">
        <v>48</v>
      </c>
      <c r="K187">
        <v>9</v>
      </c>
      <c r="M187" t="s">
        <v>48</v>
      </c>
      <c r="N187">
        <v>51500</v>
      </c>
    </row>
    <row r="188" spans="1:14">
      <c r="A188" t="s">
        <v>77</v>
      </c>
      <c r="B188" t="s">
        <v>511</v>
      </c>
      <c r="C188" t="s">
        <v>512</v>
      </c>
      <c r="D188">
        <v>49</v>
      </c>
      <c r="E188">
        <v>28049</v>
      </c>
      <c r="F188" t="s">
        <v>136</v>
      </c>
      <c r="G188" t="s">
        <v>137</v>
      </c>
      <c r="H188">
        <v>25200</v>
      </c>
      <c r="I188">
        <v>59500</v>
      </c>
      <c r="J188" t="s">
        <v>48</v>
      </c>
      <c r="K188">
        <v>37</v>
      </c>
      <c r="M188" t="s">
        <v>48</v>
      </c>
      <c r="N188">
        <v>86500</v>
      </c>
    </row>
    <row r="189" spans="1:14">
      <c r="A189" t="s">
        <v>72</v>
      </c>
      <c r="B189" t="s">
        <v>513</v>
      </c>
      <c r="C189" t="s">
        <v>514</v>
      </c>
      <c r="D189">
        <v>60</v>
      </c>
      <c r="E189" s="12">
        <v>24021</v>
      </c>
      <c r="F189" t="s">
        <v>165</v>
      </c>
      <c r="G189" t="s">
        <v>150</v>
      </c>
      <c r="H189">
        <v>22900</v>
      </c>
      <c r="I189">
        <v>4500</v>
      </c>
      <c r="J189" t="s">
        <v>49</v>
      </c>
      <c r="K189">
        <v>29</v>
      </c>
      <c r="M189" t="s">
        <v>49</v>
      </c>
      <c r="N189">
        <v>43500</v>
      </c>
    </row>
    <row r="190" spans="1:14">
      <c r="A190" t="s">
        <v>77</v>
      </c>
      <c r="B190" t="s">
        <v>515</v>
      </c>
      <c r="C190">
        <v>17500</v>
      </c>
      <c r="D190">
        <v>60</v>
      </c>
      <c r="E190" s="12">
        <v>24091</v>
      </c>
      <c r="F190" t="s">
        <v>98</v>
      </c>
      <c r="G190" t="s">
        <v>103</v>
      </c>
      <c r="H190">
        <v>10100</v>
      </c>
      <c r="I190">
        <v>55000</v>
      </c>
      <c r="J190" t="s">
        <v>48</v>
      </c>
      <c r="K190">
        <v>26</v>
      </c>
      <c r="M190" t="s">
        <v>48</v>
      </c>
      <c r="N190">
        <v>54000</v>
      </c>
    </row>
    <row r="191" spans="1:14">
      <c r="A191" t="s">
        <v>72</v>
      </c>
      <c r="B191" t="s">
        <v>516</v>
      </c>
      <c r="C191">
        <v>16300</v>
      </c>
      <c r="D191" t="s">
        <v>517</v>
      </c>
      <c r="E191" s="12">
        <v>36255</v>
      </c>
      <c r="F191" t="s">
        <v>136</v>
      </c>
      <c r="G191" t="s">
        <v>137</v>
      </c>
      <c r="H191">
        <v>14000</v>
      </c>
      <c r="I191">
        <v>63500</v>
      </c>
      <c r="J191" t="s">
        <v>48</v>
      </c>
      <c r="K191">
        <v>24</v>
      </c>
      <c r="M191" t="s">
        <v>48</v>
      </c>
      <c r="N191">
        <v>87000</v>
      </c>
    </row>
    <row r="192" spans="1:14">
      <c r="A192" t="s">
        <v>72</v>
      </c>
      <c r="B192" t="s">
        <v>518</v>
      </c>
      <c r="C192" t="s">
        <v>519</v>
      </c>
      <c r="D192">
        <v>53</v>
      </c>
      <c r="E192">
        <v>26898</v>
      </c>
      <c r="F192" t="s">
        <v>157</v>
      </c>
      <c r="G192" t="s">
        <v>137</v>
      </c>
      <c r="H192">
        <v>27100</v>
      </c>
      <c r="I192">
        <v>68000</v>
      </c>
      <c r="J192" t="s">
        <v>48</v>
      </c>
      <c r="K192" t="s">
        <v>520</v>
      </c>
      <c r="M192" t="s">
        <v>48</v>
      </c>
      <c r="N192">
        <v>49500</v>
      </c>
    </row>
    <row r="193" spans="1:14">
      <c r="A193" t="s">
        <v>72</v>
      </c>
      <c r="B193" t="s">
        <v>521</v>
      </c>
      <c r="C193" t="s">
        <v>522</v>
      </c>
      <c r="D193">
        <v>37</v>
      </c>
      <c r="E193">
        <v>32414</v>
      </c>
      <c r="F193" t="s">
        <v>523</v>
      </c>
      <c r="H193">
        <v>12800</v>
      </c>
      <c r="I193">
        <v>76500</v>
      </c>
      <c r="J193" t="s">
        <v>48</v>
      </c>
      <c r="K193" t="s">
        <v>463</v>
      </c>
      <c r="M193" t="s">
        <v>48</v>
      </c>
      <c r="N193">
        <v>18500</v>
      </c>
    </row>
    <row r="194" spans="1:14">
      <c r="A194" t="s">
        <v>72</v>
      </c>
      <c r="B194" t="s">
        <v>524</v>
      </c>
      <c r="C194">
        <v>35000</v>
      </c>
      <c r="D194">
        <v>18</v>
      </c>
      <c r="E194" s="12">
        <v>39342</v>
      </c>
      <c r="F194" t="s">
        <v>143</v>
      </c>
      <c r="G194" t="s">
        <v>144</v>
      </c>
      <c r="H194">
        <v>28900</v>
      </c>
      <c r="I194">
        <v>22000</v>
      </c>
      <c r="J194" t="s">
        <v>48</v>
      </c>
      <c r="K194">
        <v>23</v>
      </c>
      <c r="M194" t="s">
        <v>48</v>
      </c>
      <c r="N194">
        <v>90000</v>
      </c>
    </row>
    <row r="195" spans="1:14">
      <c r="A195" t="s">
        <v>72</v>
      </c>
      <c r="B195" t="s">
        <v>289</v>
      </c>
      <c r="C195" t="s">
        <v>290</v>
      </c>
      <c r="D195">
        <v>27</v>
      </c>
      <c r="E195">
        <v>36308</v>
      </c>
      <c r="F195" t="s">
        <v>133</v>
      </c>
      <c r="G195" t="s">
        <v>134</v>
      </c>
      <c r="H195">
        <v>5300</v>
      </c>
      <c r="I195" t="s">
        <v>291</v>
      </c>
      <c r="J195" t="s">
        <v>242</v>
      </c>
      <c r="K195">
        <v>11</v>
      </c>
      <c r="M195" t="s">
        <v>242</v>
      </c>
      <c r="N195">
        <v>4500</v>
      </c>
    </row>
    <row r="196" spans="1:14">
      <c r="A196" t="s">
        <v>72</v>
      </c>
      <c r="B196" t="s">
        <v>525</v>
      </c>
      <c r="C196" t="s">
        <v>526</v>
      </c>
      <c r="D196">
        <v>25</v>
      </c>
      <c r="E196">
        <v>36824</v>
      </c>
      <c r="F196" t="s">
        <v>136</v>
      </c>
      <c r="G196" t="s">
        <v>137</v>
      </c>
      <c r="H196">
        <v>18300</v>
      </c>
      <c r="I196">
        <v>41000</v>
      </c>
      <c r="J196" t="s">
        <v>48</v>
      </c>
      <c r="K196">
        <v>9</v>
      </c>
      <c r="M196" t="s">
        <v>48</v>
      </c>
      <c r="N196">
        <v>32500</v>
      </c>
    </row>
    <row r="197" spans="1:14">
      <c r="A197" t="s">
        <v>72</v>
      </c>
      <c r="B197" t="s">
        <v>527</v>
      </c>
      <c r="C197" t="s">
        <v>528</v>
      </c>
      <c r="D197">
        <v>55</v>
      </c>
      <c r="E197">
        <v>26103</v>
      </c>
      <c r="F197" t="s">
        <v>79</v>
      </c>
      <c r="G197" t="s">
        <v>80</v>
      </c>
      <c r="H197">
        <v>9600</v>
      </c>
      <c r="I197">
        <v>43000</v>
      </c>
      <c r="J197" t="s">
        <v>48</v>
      </c>
      <c r="K197">
        <v>36</v>
      </c>
      <c r="M197" t="s">
        <v>48</v>
      </c>
      <c r="N197">
        <v>67500</v>
      </c>
    </row>
    <row r="198" spans="1:14">
      <c r="A198" t="s">
        <v>72</v>
      </c>
      <c r="B198" t="s">
        <v>529</v>
      </c>
      <c r="C198" t="s">
        <v>530</v>
      </c>
      <c r="D198">
        <v>23</v>
      </c>
      <c r="E198">
        <v>37530</v>
      </c>
      <c r="F198" t="s">
        <v>91</v>
      </c>
      <c r="H198">
        <v>10700</v>
      </c>
      <c r="I198">
        <v>15000</v>
      </c>
      <c r="J198" t="s">
        <v>48</v>
      </c>
      <c r="K198">
        <v>42</v>
      </c>
      <c r="M198" t="s">
        <v>48</v>
      </c>
      <c r="N198">
        <v>81500</v>
      </c>
    </row>
    <row r="199" spans="1:14">
      <c r="A199" t="s">
        <v>77</v>
      </c>
      <c r="B199" t="s">
        <v>531</v>
      </c>
      <c r="C199" t="s">
        <v>532</v>
      </c>
      <c r="D199">
        <v>58</v>
      </c>
      <c r="E199">
        <v>24872</v>
      </c>
      <c r="F199" t="s">
        <v>107</v>
      </c>
      <c r="G199" t="s">
        <v>262</v>
      </c>
      <c r="H199" s="13">
        <v>12500</v>
      </c>
      <c r="I199" s="14">
        <v>44500</v>
      </c>
      <c r="J199" t="s">
        <v>242</v>
      </c>
      <c r="K199">
        <v>13</v>
      </c>
      <c r="M199" t="s">
        <v>242</v>
      </c>
      <c r="N199">
        <v>16000</v>
      </c>
    </row>
    <row r="200" spans="1:14">
      <c r="A200" t="s">
        <v>72</v>
      </c>
      <c r="B200" t="s">
        <v>533</v>
      </c>
      <c r="D200">
        <v>24</v>
      </c>
      <c r="F200" t="s">
        <v>84</v>
      </c>
      <c r="G200" t="s">
        <v>411</v>
      </c>
      <c r="H200">
        <v>17000</v>
      </c>
      <c r="I200">
        <v>41000</v>
      </c>
      <c r="J200" t="s">
        <v>48</v>
      </c>
      <c r="K200">
        <v>37</v>
      </c>
      <c r="M200" t="s">
        <v>48</v>
      </c>
      <c r="N200">
        <v>33000</v>
      </c>
    </row>
    <row r="201" spans="1:14">
      <c r="A201" t="s">
        <v>72</v>
      </c>
      <c r="B201" t="s">
        <v>534</v>
      </c>
      <c r="C201">
        <v>7700</v>
      </c>
      <c r="E201" s="12">
        <v>31337</v>
      </c>
      <c r="F201" t="s">
        <v>164</v>
      </c>
      <c r="G201" t="s">
        <v>134</v>
      </c>
      <c r="H201">
        <v>14000</v>
      </c>
      <c r="I201">
        <v>0</v>
      </c>
      <c r="J201" t="s">
        <v>186</v>
      </c>
      <c r="K201">
        <v>24</v>
      </c>
      <c r="M201" t="s">
        <v>186</v>
      </c>
      <c r="N201">
        <v>82000</v>
      </c>
    </row>
    <row r="202" spans="1:14">
      <c r="A202" t="s">
        <v>72</v>
      </c>
      <c r="B202" t="s">
        <v>126</v>
      </c>
      <c r="C202" t="s">
        <v>535</v>
      </c>
      <c r="D202">
        <v>59</v>
      </c>
      <c r="E202">
        <v>24710</v>
      </c>
      <c r="F202" t="s">
        <v>536</v>
      </c>
      <c r="H202" s="14">
        <v>19900</v>
      </c>
      <c r="I202" s="14">
        <v>55000</v>
      </c>
      <c r="J202" t="s">
        <v>48</v>
      </c>
      <c r="K202">
        <v>26</v>
      </c>
      <c r="M202" t="s">
        <v>48</v>
      </c>
      <c r="N202">
        <v>100000</v>
      </c>
    </row>
    <row r="203" spans="1:14">
      <c r="A203" t="s">
        <v>77</v>
      </c>
      <c r="B203" t="s">
        <v>537</v>
      </c>
      <c r="C203" t="s">
        <v>538</v>
      </c>
      <c r="D203">
        <v>74</v>
      </c>
      <c r="E203">
        <v>19073</v>
      </c>
      <c r="F203" t="s">
        <v>98</v>
      </c>
      <c r="H203">
        <v>7100</v>
      </c>
      <c r="I203">
        <v>61500</v>
      </c>
      <c r="J203" t="s">
        <v>48</v>
      </c>
      <c r="K203" t="s">
        <v>161</v>
      </c>
      <c r="M203" t="s">
        <v>48</v>
      </c>
      <c r="N203">
        <v>50500</v>
      </c>
    </row>
    <row r="204" spans="1:14">
      <c r="A204" t="s">
        <v>72</v>
      </c>
      <c r="B204" t="s">
        <v>539</v>
      </c>
      <c r="C204" t="s">
        <v>540</v>
      </c>
      <c r="D204">
        <v>64</v>
      </c>
      <c r="E204" s="12">
        <v>22886</v>
      </c>
      <c r="F204" t="s">
        <v>107</v>
      </c>
      <c r="G204" t="s">
        <v>127</v>
      </c>
      <c r="H204" s="14">
        <v>8800</v>
      </c>
      <c r="I204" s="13">
        <v>66000</v>
      </c>
      <c r="J204" t="s">
        <v>48</v>
      </c>
      <c r="K204">
        <v>28</v>
      </c>
      <c r="M204" t="s">
        <v>48</v>
      </c>
      <c r="N204">
        <v>5000</v>
      </c>
    </row>
    <row r="205" spans="1:14">
      <c r="A205" t="s">
        <v>77</v>
      </c>
      <c r="B205" t="s">
        <v>531</v>
      </c>
      <c r="C205" t="s">
        <v>532</v>
      </c>
      <c r="D205">
        <v>58</v>
      </c>
      <c r="E205">
        <v>24872</v>
      </c>
      <c r="F205" t="s">
        <v>107</v>
      </c>
      <c r="G205" t="s">
        <v>262</v>
      </c>
      <c r="H205" s="13">
        <v>12500</v>
      </c>
      <c r="I205" s="14">
        <v>44500</v>
      </c>
      <c r="J205" t="s">
        <v>242</v>
      </c>
      <c r="K205">
        <v>13</v>
      </c>
      <c r="M205" t="s">
        <v>242</v>
      </c>
      <c r="N205">
        <v>98500</v>
      </c>
    </row>
    <row r="206" spans="1:14">
      <c r="A206" t="s">
        <v>72</v>
      </c>
      <c r="B206" t="s">
        <v>541</v>
      </c>
      <c r="C206">
        <v>23300</v>
      </c>
      <c r="D206">
        <v>38</v>
      </c>
      <c r="E206">
        <v>32066</v>
      </c>
      <c r="F206" t="s">
        <v>116</v>
      </c>
      <c r="G206" t="s">
        <v>117</v>
      </c>
      <c r="H206">
        <v>9700</v>
      </c>
      <c r="I206" s="14">
        <v>25000</v>
      </c>
      <c r="J206" t="s">
        <v>48</v>
      </c>
      <c r="K206">
        <v>0</v>
      </c>
      <c r="M206" t="s">
        <v>48</v>
      </c>
      <c r="N206">
        <v>55500</v>
      </c>
    </row>
    <row r="207" spans="1:14">
      <c r="A207" t="s">
        <v>72</v>
      </c>
      <c r="B207" t="s">
        <v>542</v>
      </c>
      <c r="C207">
        <v>9600</v>
      </c>
      <c r="D207">
        <v>49</v>
      </c>
      <c r="E207">
        <v>28330</v>
      </c>
      <c r="F207" t="s">
        <v>122</v>
      </c>
      <c r="G207" t="s">
        <v>117</v>
      </c>
      <c r="H207">
        <v>11500</v>
      </c>
      <c r="I207">
        <v>44500</v>
      </c>
      <c r="J207" t="s">
        <v>48</v>
      </c>
      <c r="K207">
        <v>45</v>
      </c>
      <c r="M207" t="s">
        <v>48</v>
      </c>
      <c r="N207">
        <v>3000</v>
      </c>
    </row>
    <row r="208" spans="1:14">
      <c r="A208" t="s">
        <v>72</v>
      </c>
      <c r="B208" t="s">
        <v>543</v>
      </c>
      <c r="C208">
        <v>19000</v>
      </c>
      <c r="D208">
        <v>42</v>
      </c>
      <c r="E208" s="12">
        <v>30724</v>
      </c>
      <c r="F208" t="s">
        <v>149</v>
      </c>
      <c r="G208" t="s">
        <v>137</v>
      </c>
      <c r="H208">
        <v>18500</v>
      </c>
      <c r="I208" s="13">
        <v>59000</v>
      </c>
      <c r="J208" t="s">
        <v>48</v>
      </c>
      <c r="K208">
        <v>44</v>
      </c>
      <c r="M208" t="s">
        <v>48</v>
      </c>
      <c r="N208">
        <v>16500</v>
      </c>
    </row>
    <row r="209" spans="1:14">
      <c r="A209" t="s">
        <v>72</v>
      </c>
      <c r="B209" t="s">
        <v>544</v>
      </c>
      <c r="C209" t="s">
        <v>545</v>
      </c>
      <c r="D209">
        <v>18</v>
      </c>
      <c r="E209">
        <v>39338</v>
      </c>
      <c r="F209" t="s">
        <v>157</v>
      </c>
      <c r="G209" t="s">
        <v>150</v>
      </c>
      <c r="H209" s="14">
        <v>14100</v>
      </c>
      <c r="I209">
        <v>38500</v>
      </c>
      <c r="J209" t="s">
        <v>48</v>
      </c>
      <c r="K209">
        <v>7</v>
      </c>
      <c r="M209" t="s">
        <v>48</v>
      </c>
      <c r="N209">
        <v>11000</v>
      </c>
    </row>
    <row r="210" spans="1:14">
      <c r="A210" t="s">
        <v>72</v>
      </c>
      <c r="B210" t="s">
        <v>546</v>
      </c>
      <c r="C210">
        <v>4900</v>
      </c>
      <c r="D210">
        <v>18</v>
      </c>
      <c r="E210">
        <v>39369</v>
      </c>
      <c r="F210" t="s">
        <v>116</v>
      </c>
      <c r="G210" t="s">
        <v>271</v>
      </c>
      <c r="H210">
        <v>18500</v>
      </c>
      <c r="I210">
        <v>74500</v>
      </c>
      <c r="J210" t="s">
        <v>49</v>
      </c>
      <c r="K210">
        <v>20</v>
      </c>
      <c r="M210" t="s">
        <v>49</v>
      </c>
      <c r="N210">
        <v>45500</v>
      </c>
    </row>
    <row r="211" spans="1:14">
      <c r="A211" t="s">
        <v>77</v>
      </c>
      <c r="B211" t="s">
        <v>547</v>
      </c>
      <c r="C211" t="s">
        <v>548</v>
      </c>
      <c r="D211">
        <v>66</v>
      </c>
      <c r="E211" s="12">
        <v>22039</v>
      </c>
      <c r="F211" t="s">
        <v>179</v>
      </c>
      <c r="G211" t="s">
        <v>294</v>
      </c>
      <c r="H211" t="s">
        <v>549</v>
      </c>
      <c r="I211" t="s">
        <v>550</v>
      </c>
      <c r="J211" t="s">
        <v>48</v>
      </c>
      <c r="K211">
        <v>28</v>
      </c>
      <c r="M211" t="s">
        <v>48</v>
      </c>
      <c r="N211">
        <v>74500</v>
      </c>
    </row>
    <row r="212" spans="1:14">
      <c r="A212" t="s">
        <v>72</v>
      </c>
      <c r="B212" t="s">
        <v>551</v>
      </c>
      <c r="C212" t="s">
        <v>552</v>
      </c>
      <c r="D212">
        <v>35</v>
      </c>
      <c r="E212" s="12">
        <v>33336</v>
      </c>
      <c r="F212" t="s">
        <v>75</v>
      </c>
      <c r="G212" t="s">
        <v>76</v>
      </c>
      <c r="H212" t="s">
        <v>553</v>
      </c>
      <c r="I212">
        <v>54000</v>
      </c>
      <c r="J212">
        <v>0</v>
      </c>
      <c r="K212">
        <v>44</v>
      </c>
      <c r="M212">
        <v>0</v>
      </c>
      <c r="N212">
        <v>18000</v>
      </c>
    </row>
    <row r="213" spans="1:14">
      <c r="A213" t="s">
        <v>72</v>
      </c>
      <c r="B213" t="s">
        <v>554</v>
      </c>
      <c r="C213">
        <v>27800</v>
      </c>
      <c r="D213">
        <v>38</v>
      </c>
      <c r="E213">
        <v>32152</v>
      </c>
      <c r="F213" t="s">
        <v>555</v>
      </c>
      <c r="H213">
        <v>2000</v>
      </c>
      <c r="I213">
        <v>60000</v>
      </c>
      <c r="J213" t="s">
        <v>48</v>
      </c>
      <c r="K213" t="s">
        <v>556</v>
      </c>
      <c r="M213" t="s">
        <v>48</v>
      </c>
      <c r="N213">
        <v>54000</v>
      </c>
    </row>
    <row r="214" spans="1:14">
      <c r="A214" t="s">
        <v>77</v>
      </c>
      <c r="B214" t="s">
        <v>258</v>
      </c>
      <c r="C214" t="s">
        <v>259</v>
      </c>
      <c r="D214" t="s">
        <v>260</v>
      </c>
      <c r="E214" s="12">
        <v>29113</v>
      </c>
      <c r="F214" t="s">
        <v>157</v>
      </c>
      <c r="G214" t="s">
        <v>137</v>
      </c>
      <c r="H214">
        <v>15000</v>
      </c>
      <c r="I214">
        <v>0</v>
      </c>
      <c r="J214" t="s">
        <v>48</v>
      </c>
      <c r="K214">
        <v>40</v>
      </c>
      <c r="M214" t="s">
        <v>48</v>
      </c>
      <c r="N214">
        <v>90500</v>
      </c>
    </row>
    <row r="215" spans="1:14">
      <c r="A215" t="s">
        <v>72</v>
      </c>
      <c r="B215" t="s">
        <v>557</v>
      </c>
      <c r="C215" t="s">
        <v>558</v>
      </c>
      <c r="D215">
        <v>72</v>
      </c>
      <c r="E215">
        <v>19800</v>
      </c>
      <c r="F215" t="s">
        <v>133</v>
      </c>
      <c r="G215" t="s">
        <v>134</v>
      </c>
      <c r="H215">
        <v>24300</v>
      </c>
      <c r="I215">
        <v>13500</v>
      </c>
      <c r="J215" t="s">
        <v>48</v>
      </c>
      <c r="K215">
        <v>33</v>
      </c>
      <c r="M215" t="s">
        <v>48</v>
      </c>
      <c r="N215">
        <v>14500</v>
      </c>
    </row>
    <row r="216" spans="1:14">
      <c r="A216" t="s">
        <v>72</v>
      </c>
      <c r="B216" t="s">
        <v>559</v>
      </c>
      <c r="C216" t="s">
        <v>560</v>
      </c>
      <c r="D216">
        <v>69</v>
      </c>
      <c r="F216" t="s">
        <v>122</v>
      </c>
      <c r="G216" t="s">
        <v>117</v>
      </c>
      <c r="H216" s="14">
        <v>4500</v>
      </c>
      <c r="I216">
        <v>0</v>
      </c>
      <c r="J216" t="s">
        <v>49</v>
      </c>
      <c r="K216">
        <v>32</v>
      </c>
      <c r="M216" t="s">
        <v>49</v>
      </c>
      <c r="N216">
        <v>56500</v>
      </c>
    </row>
    <row r="217" spans="1:14">
      <c r="A217" t="s">
        <v>72</v>
      </c>
      <c r="B217" t="s">
        <v>561</v>
      </c>
      <c r="C217" t="s">
        <v>562</v>
      </c>
      <c r="D217">
        <v>22</v>
      </c>
      <c r="E217">
        <v>38079</v>
      </c>
      <c r="F217" t="s">
        <v>79</v>
      </c>
      <c r="G217" t="s">
        <v>80</v>
      </c>
      <c r="H217">
        <v>9200</v>
      </c>
      <c r="I217" s="13">
        <v>5000</v>
      </c>
      <c r="J217" t="s">
        <v>48</v>
      </c>
      <c r="K217">
        <v>42</v>
      </c>
      <c r="M217" t="s">
        <v>48</v>
      </c>
      <c r="N217">
        <v>63500</v>
      </c>
    </row>
    <row r="218" spans="1:14">
      <c r="A218" t="s">
        <v>72</v>
      </c>
      <c r="B218" t="s">
        <v>563</v>
      </c>
      <c r="C218" t="s">
        <v>564</v>
      </c>
      <c r="D218">
        <v>39</v>
      </c>
      <c r="E218">
        <v>31972</v>
      </c>
      <c r="F218" t="s">
        <v>133</v>
      </c>
      <c r="G218" t="s">
        <v>141</v>
      </c>
      <c r="H218">
        <v>8700</v>
      </c>
      <c r="I218" t="s">
        <v>229</v>
      </c>
      <c r="J218" t="s">
        <v>48</v>
      </c>
      <c r="K218">
        <v>16</v>
      </c>
      <c r="M218" t="s">
        <v>48</v>
      </c>
      <c r="N218">
        <v>93500</v>
      </c>
    </row>
    <row r="219" spans="1:14">
      <c r="A219" t="s">
        <v>72</v>
      </c>
      <c r="B219" t="s">
        <v>565</v>
      </c>
      <c r="C219">
        <v>9800</v>
      </c>
      <c r="D219">
        <v>35</v>
      </c>
      <c r="E219" s="12">
        <v>33440</v>
      </c>
      <c r="F219" t="s">
        <v>107</v>
      </c>
      <c r="G219" t="s">
        <v>262</v>
      </c>
      <c r="H219" s="13">
        <v>2000</v>
      </c>
      <c r="I219" s="13">
        <v>5500</v>
      </c>
      <c r="J219" t="s">
        <v>48</v>
      </c>
      <c r="K219">
        <v>34</v>
      </c>
      <c r="M219" t="s">
        <v>48</v>
      </c>
      <c r="N219">
        <v>71000</v>
      </c>
    </row>
    <row r="220" spans="1:14">
      <c r="A220" t="s">
        <v>72</v>
      </c>
      <c r="B220" t="s">
        <v>566</v>
      </c>
      <c r="C220" t="s">
        <v>567</v>
      </c>
      <c r="D220">
        <v>72</v>
      </c>
      <c r="E220">
        <v>19623</v>
      </c>
      <c r="F220" t="s">
        <v>98</v>
      </c>
      <c r="G220" t="s">
        <v>103</v>
      </c>
      <c r="H220" s="14">
        <v>12600</v>
      </c>
      <c r="I220" s="14">
        <v>5500</v>
      </c>
      <c r="J220" t="s">
        <v>48</v>
      </c>
      <c r="K220">
        <v>35</v>
      </c>
      <c r="M220" t="s">
        <v>48</v>
      </c>
      <c r="N220">
        <v>21000</v>
      </c>
    </row>
    <row r="221" spans="1:14">
      <c r="A221" t="s">
        <v>72</v>
      </c>
      <c r="B221" t="s">
        <v>568</v>
      </c>
      <c r="C221" t="s">
        <v>569</v>
      </c>
      <c r="D221">
        <v>24</v>
      </c>
      <c r="F221" t="s">
        <v>136</v>
      </c>
      <c r="G221" t="s">
        <v>137</v>
      </c>
      <c r="H221">
        <v>29300</v>
      </c>
      <c r="I221">
        <v>32000</v>
      </c>
      <c r="J221" t="s">
        <v>49</v>
      </c>
      <c r="K221">
        <v>26</v>
      </c>
      <c r="M221" t="s">
        <v>49</v>
      </c>
      <c r="N221">
        <v>59000</v>
      </c>
    </row>
    <row r="222" spans="1:14">
      <c r="A222" t="s">
        <v>77</v>
      </c>
      <c r="B222" t="s">
        <v>570</v>
      </c>
      <c r="C222" t="s">
        <v>571</v>
      </c>
      <c r="D222">
        <v>26</v>
      </c>
      <c r="E222">
        <v>36540</v>
      </c>
      <c r="F222" t="s">
        <v>84</v>
      </c>
      <c r="G222" t="s">
        <v>160</v>
      </c>
      <c r="H222">
        <v>24000</v>
      </c>
      <c r="I222" t="s">
        <v>572</v>
      </c>
      <c r="J222" t="s">
        <v>48</v>
      </c>
      <c r="K222">
        <v>30</v>
      </c>
      <c r="M222" t="s">
        <v>48</v>
      </c>
      <c r="N222">
        <v>62500</v>
      </c>
    </row>
    <row r="223" spans="1:14">
      <c r="A223" t="s">
        <v>72</v>
      </c>
      <c r="B223" t="s">
        <v>573</v>
      </c>
      <c r="C223" t="s">
        <v>574</v>
      </c>
      <c r="D223">
        <v>35</v>
      </c>
      <c r="E223">
        <v>33309</v>
      </c>
      <c r="F223" t="s">
        <v>133</v>
      </c>
      <c r="G223" t="s">
        <v>134</v>
      </c>
      <c r="H223">
        <v>28500</v>
      </c>
      <c r="I223" s="13">
        <v>48500</v>
      </c>
      <c r="J223" t="s">
        <v>48</v>
      </c>
      <c r="K223">
        <v>24</v>
      </c>
      <c r="M223" t="s">
        <v>48</v>
      </c>
      <c r="N223">
        <v>80500</v>
      </c>
    </row>
    <row r="224" spans="1:14">
      <c r="A224" t="s">
        <v>72</v>
      </c>
      <c r="B224" t="s">
        <v>575</v>
      </c>
      <c r="C224" t="s">
        <v>576</v>
      </c>
      <c r="D224">
        <v>23</v>
      </c>
      <c r="E224" s="12">
        <v>37785</v>
      </c>
      <c r="F224" t="s">
        <v>220</v>
      </c>
      <c r="G224" t="s">
        <v>411</v>
      </c>
      <c r="H224" s="14">
        <v>17900</v>
      </c>
      <c r="I224">
        <v>28000</v>
      </c>
      <c r="J224" t="s">
        <v>48</v>
      </c>
      <c r="K224">
        <v>41</v>
      </c>
      <c r="M224" t="s">
        <v>48</v>
      </c>
      <c r="N224">
        <v>52500</v>
      </c>
    </row>
    <row r="225" spans="1:14">
      <c r="A225" t="s">
        <v>77</v>
      </c>
      <c r="B225" t="s">
        <v>577</v>
      </c>
      <c r="C225" t="s">
        <v>578</v>
      </c>
      <c r="D225">
        <v>33</v>
      </c>
      <c r="E225">
        <v>33902</v>
      </c>
      <c r="F225" t="s">
        <v>168</v>
      </c>
      <c r="G225" t="s">
        <v>213</v>
      </c>
      <c r="H225">
        <v>12500</v>
      </c>
      <c r="I225">
        <v>51500</v>
      </c>
      <c r="J225" t="s">
        <v>49</v>
      </c>
      <c r="K225">
        <v>44</v>
      </c>
      <c r="M225" t="s">
        <v>49</v>
      </c>
      <c r="N225">
        <v>24000</v>
      </c>
    </row>
    <row r="226" spans="1:14">
      <c r="A226" t="s">
        <v>72</v>
      </c>
      <c r="B226" t="s">
        <v>566</v>
      </c>
      <c r="C226" t="s">
        <v>579</v>
      </c>
      <c r="D226">
        <v>63</v>
      </c>
      <c r="E226" s="12">
        <v>22900</v>
      </c>
      <c r="F226" t="s">
        <v>179</v>
      </c>
      <c r="G226" t="s">
        <v>179</v>
      </c>
      <c r="H226">
        <v>5500</v>
      </c>
      <c r="I226" s="13">
        <v>41000</v>
      </c>
      <c r="J226" t="s">
        <v>48</v>
      </c>
      <c r="K226">
        <v>2</v>
      </c>
      <c r="M226" t="s">
        <v>48</v>
      </c>
      <c r="N226">
        <v>54500</v>
      </c>
    </row>
    <row r="227" spans="1:14">
      <c r="A227" t="s">
        <v>77</v>
      </c>
      <c r="B227" t="s">
        <v>580</v>
      </c>
      <c r="C227" t="s">
        <v>581</v>
      </c>
      <c r="D227">
        <v>31</v>
      </c>
      <c r="E227" s="12">
        <v>34885</v>
      </c>
      <c r="F227" t="s">
        <v>84</v>
      </c>
      <c r="G227" t="s">
        <v>85</v>
      </c>
      <c r="H227" s="14">
        <v>16400</v>
      </c>
      <c r="I227" t="s">
        <v>582</v>
      </c>
      <c r="J227" t="s">
        <v>88</v>
      </c>
      <c r="K227">
        <v>6</v>
      </c>
      <c r="M227" t="s">
        <v>88</v>
      </c>
      <c r="N227">
        <v>49500</v>
      </c>
    </row>
    <row r="228" spans="1:14">
      <c r="A228" t="s">
        <v>100</v>
      </c>
      <c r="B228" t="s">
        <v>583</v>
      </c>
      <c r="C228" t="s">
        <v>584</v>
      </c>
      <c r="D228">
        <v>71</v>
      </c>
      <c r="E228" s="12">
        <v>20000</v>
      </c>
      <c r="F228" t="s">
        <v>240</v>
      </c>
      <c r="G228" t="s">
        <v>241</v>
      </c>
      <c r="H228">
        <v>15100</v>
      </c>
      <c r="I228" t="s">
        <v>87</v>
      </c>
      <c r="J228" t="s">
        <v>48</v>
      </c>
      <c r="K228">
        <v>42</v>
      </c>
      <c r="M228" t="s">
        <v>48</v>
      </c>
      <c r="N228">
        <v>77000</v>
      </c>
    </row>
    <row r="229" spans="1:14">
      <c r="A229" t="s">
        <v>72</v>
      </c>
      <c r="B229" t="s">
        <v>585</v>
      </c>
      <c r="C229">
        <v>21900</v>
      </c>
      <c r="D229">
        <v>67</v>
      </c>
      <c r="E229">
        <v>21619</v>
      </c>
      <c r="F229" t="s">
        <v>79</v>
      </c>
      <c r="G229" t="s">
        <v>130</v>
      </c>
      <c r="H229">
        <v>20200</v>
      </c>
      <c r="I229">
        <v>6500</v>
      </c>
      <c r="J229" t="s">
        <v>48</v>
      </c>
      <c r="K229">
        <v>1</v>
      </c>
      <c r="M229" t="s">
        <v>48</v>
      </c>
      <c r="N229">
        <v>98500</v>
      </c>
    </row>
    <row r="230" spans="1:14">
      <c r="A230" t="s">
        <v>72</v>
      </c>
      <c r="B230" t="s">
        <v>586</v>
      </c>
      <c r="C230" t="s">
        <v>587</v>
      </c>
      <c r="D230">
        <v>27</v>
      </c>
      <c r="E230" s="12">
        <v>36288</v>
      </c>
      <c r="F230" t="s">
        <v>165</v>
      </c>
      <c r="G230" t="s">
        <v>137</v>
      </c>
      <c r="H230">
        <v>29700</v>
      </c>
      <c r="I230">
        <v>12000</v>
      </c>
      <c r="J230" t="s">
        <v>48</v>
      </c>
      <c r="K230">
        <v>37</v>
      </c>
      <c r="M230" t="s">
        <v>48</v>
      </c>
      <c r="N230">
        <v>49000</v>
      </c>
    </row>
    <row r="231" spans="1:14">
      <c r="A231" t="s">
        <v>72</v>
      </c>
      <c r="B231" t="s">
        <v>588</v>
      </c>
      <c r="C231" t="s">
        <v>589</v>
      </c>
      <c r="D231">
        <v>25</v>
      </c>
      <c r="E231" s="12">
        <v>37056</v>
      </c>
      <c r="F231" t="s">
        <v>157</v>
      </c>
      <c r="G231" t="s">
        <v>137</v>
      </c>
      <c r="H231">
        <v>25400</v>
      </c>
      <c r="I231">
        <v>4000</v>
      </c>
      <c r="J231" t="s">
        <v>48</v>
      </c>
      <c r="K231">
        <v>4</v>
      </c>
      <c r="M231" t="s">
        <v>48</v>
      </c>
      <c r="N231">
        <v>8500</v>
      </c>
    </row>
    <row r="232" spans="1:14">
      <c r="A232" t="s">
        <v>72</v>
      </c>
      <c r="B232" t="s">
        <v>590</v>
      </c>
      <c r="C232" t="s">
        <v>591</v>
      </c>
      <c r="D232">
        <v>70</v>
      </c>
      <c r="E232">
        <v>20533</v>
      </c>
      <c r="F232" t="s">
        <v>240</v>
      </c>
      <c r="G232" t="s">
        <v>453</v>
      </c>
      <c r="H232">
        <v>9100</v>
      </c>
      <c r="I232">
        <v>40500</v>
      </c>
      <c r="J232" t="s">
        <v>48</v>
      </c>
      <c r="K232">
        <v>35</v>
      </c>
      <c r="M232" t="s">
        <v>48</v>
      </c>
      <c r="N232">
        <v>53000</v>
      </c>
    </row>
    <row r="233" spans="1:14">
      <c r="A233" t="s">
        <v>77</v>
      </c>
      <c r="B233" t="s">
        <v>592</v>
      </c>
      <c r="C233" t="s">
        <v>593</v>
      </c>
      <c r="D233">
        <v>57</v>
      </c>
      <c r="E233" s="12">
        <v>25324</v>
      </c>
      <c r="F233" t="s">
        <v>149</v>
      </c>
      <c r="G233" t="s">
        <v>150</v>
      </c>
      <c r="H233">
        <v>9500</v>
      </c>
      <c r="I233">
        <v>58000</v>
      </c>
      <c r="J233" t="s">
        <v>186</v>
      </c>
      <c r="K233">
        <v>23</v>
      </c>
      <c r="M233" t="s">
        <v>186</v>
      </c>
      <c r="N233">
        <v>81500</v>
      </c>
    </row>
    <row r="234" spans="1:14">
      <c r="A234" t="s">
        <v>77</v>
      </c>
      <c r="B234" t="s">
        <v>594</v>
      </c>
      <c r="C234" t="s">
        <v>595</v>
      </c>
      <c r="D234">
        <v>58</v>
      </c>
      <c r="E234">
        <v>25054</v>
      </c>
      <c r="F234" t="s">
        <v>220</v>
      </c>
      <c r="G234" t="s">
        <v>160</v>
      </c>
      <c r="H234" s="13">
        <v>4500</v>
      </c>
      <c r="I234" s="13">
        <v>20000</v>
      </c>
      <c r="J234" t="s">
        <v>49</v>
      </c>
      <c r="K234">
        <v>9</v>
      </c>
      <c r="M234" t="s">
        <v>49</v>
      </c>
      <c r="N234">
        <v>49000</v>
      </c>
    </row>
    <row r="235" spans="1:14">
      <c r="A235" t="s">
        <v>77</v>
      </c>
      <c r="B235" t="s">
        <v>596</v>
      </c>
      <c r="C235">
        <v>6400</v>
      </c>
      <c r="D235">
        <v>57</v>
      </c>
      <c r="E235">
        <v>25206</v>
      </c>
      <c r="F235" t="s">
        <v>133</v>
      </c>
      <c r="G235" t="s">
        <v>351</v>
      </c>
      <c r="H235">
        <v>3400</v>
      </c>
      <c r="I235">
        <v>0</v>
      </c>
      <c r="J235" t="s">
        <v>48</v>
      </c>
      <c r="K235">
        <v>20</v>
      </c>
      <c r="M235" t="s">
        <v>48</v>
      </c>
      <c r="N235">
        <v>19500</v>
      </c>
    </row>
    <row r="236" spans="1:14">
      <c r="A236" t="s">
        <v>72</v>
      </c>
      <c r="B236" t="s">
        <v>597</v>
      </c>
      <c r="C236" t="s">
        <v>598</v>
      </c>
      <c r="D236">
        <v>65</v>
      </c>
      <c r="E236" s="12">
        <v>22366</v>
      </c>
      <c r="F236" t="s">
        <v>168</v>
      </c>
      <c r="G236" t="s">
        <v>213</v>
      </c>
      <c r="H236" s="14">
        <v>18000</v>
      </c>
      <c r="I236">
        <v>0</v>
      </c>
      <c r="J236" t="s">
        <v>48</v>
      </c>
      <c r="K236">
        <v>27</v>
      </c>
      <c r="M236" t="s">
        <v>48</v>
      </c>
      <c r="N236">
        <v>38500</v>
      </c>
    </row>
    <row r="237" spans="1:14">
      <c r="A237" t="s">
        <v>72</v>
      </c>
      <c r="B237" t="s">
        <v>599</v>
      </c>
      <c r="C237" t="s">
        <v>600</v>
      </c>
      <c r="D237">
        <v>39</v>
      </c>
      <c r="E237" s="12">
        <v>31814</v>
      </c>
      <c r="F237" t="s">
        <v>149</v>
      </c>
      <c r="G237" t="s">
        <v>137</v>
      </c>
      <c r="H237" s="13">
        <v>9300</v>
      </c>
      <c r="I237" s="13">
        <v>36500</v>
      </c>
      <c r="J237" t="s">
        <v>48</v>
      </c>
      <c r="M237" t="s">
        <v>48</v>
      </c>
      <c r="N237">
        <v>3000</v>
      </c>
    </row>
    <row r="238" spans="1:14">
      <c r="A238" t="s">
        <v>72</v>
      </c>
      <c r="B238" t="s">
        <v>601</v>
      </c>
      <c r="C238">
        <v>30500</v>
      </c>
      <c r="D238">
        <v>62</v>
      </c>
      <c r="E238">
        <v>23278</v>
      </c>
      <c r="F238" t="s">
        <v>136</v>
      </c>
      <c r="G238" t="s">
        <v>137</v>
      </c>
      <c r="H238">
        <v>17000</v>
      </c>
      <c r="I238">
        <v>64000</v>
      </c>
      <c r="J238" t="s">
        <v>49</v>
      </c>
      <c r="K238">
        <v>21</v>
      </c>
      <c r="M238" t="s">
        <v>49</v>
      </c>
      <c r="N238">
        <v>19000</v>
      </c>
    </row>
    <row r="239" spans="1:14">
      <c r="A239" t="s">
        <v>77</v>
      </c>
      <c r="B239" t="s">
        <v>602</v>
      </c>
      <c r="C239" t="s">
        <v>603</v>
      </c>
      <c r="D239">
        <v>69</v>
      </c>
      <c r="E239">
        <v>20785</v>
      </c>
      <c r="F239" t="s">
        <v>136</v>
      </c>
      <c r="G239" t="s">
        <v>150</v>
      </c>
      <c r="H239">
        <v>16000</v>
      </c>
      <c r="I239" s="13">
        <v>48000</v>
      </c>
      <c r="J239" t="s">
        <v>48</v>
      </c>
      <c r="K239">
        <v>29</v>
      </c>
      <c r="M239" t="s">
        <v>48</v>
      </c>
      <c r="N239">
        <v>74500</v>
      </c>
    </row>
    <row r="240" spans="1:14">
      <c r="A240" t="s">
        <v>77</v>
      </c>
      <c r="B240" t="s">
        <v>604</v>
      </c>
      <c r="C240">
        <v>27100</v>
      </c>
      <c r="D240">
        <v>55</v>
      </c>
      <c r="E240" s="12">
        <v>25895</v>
      </c>
      <c r="F240" t="s">
        <v>116</v>
      </c>
      <c r="G240" t="s">
        <v>117</v>
      </c>
      <c r="H240">
        <v>6800</v>
      </c>
      <c r="I240">
        <v>12000</v>
      </c>
      <c r="J240" t="s">
        <v>48</v>
      </c>
      <c r="K240">
        <v>6</v>
      </c>
      <c r="M240" t="s">
        <v>48</v>
      </c>
      <c r="N240">
        <v>11000</v>
      </c>
    </row>
    <row r="241" spans="1:14">
      <c r="A241" t="s">
        <v>72</v>
      </c>
      <c r="B241" t="s">
        <v>605</v>
      </c>
      <c r="C241" t="s">
        <v>606</v>
      </c>
      <c r="D241">
        <v>25</v>
      </c>
      <c r="E241" s="12">
        <v>37026</v>
      </c>
      <c r="F241" t="s">
        <v>300</v>
      </c>
      <c r="G241" t="s">
        <v>80</v>
      </c>
      <c r="H241">
        <v>28200</v>
      </c>
      <c r="I241">
        <v>0</v>
      </c>
      <c r="J241" t="s">
        <v>48</v>
      </c>
      <c r="K241">
        <v>29</v>
      </c>
      <c r="M241" t="s">
        <v>48</v>
      </c>
      <c r="N241">
        <v>92500</v>
      </c>
    </row>
    <row r="242" spans="1:14">
      <c r="A242" t="s">
        <v>77</v>
      </c>
      <c r="B242" t="s">
        <v>362</v>
      </c>
      <c r="C242">
        <v>34900</v>
      </c>
      <c r="D242" t="s">
        <v>607</v>
      </c>
      <c r="E242">
        <v>34387</v>
      </c>
      <c r="F242" t="s">
        <v>136</v>
      </c>
      <c r="G242" t="s">
        <v>137</v>
      </c>
      <c r="H242">
        <v>20500</v>
      </c>
      <c r="I242">
        <v>0</v>
      </c>
      <c r="J242" t="s">
        <v>48</v>
      </c>
      <c r="K242" t="s">
        <v>419</v>
      </c>
      <c r="M242" t="s">
        <v>48</v>
      </c>
      <c r="N242">
        <v>54500</v>
      </c>
    </row>
    <row r="243" spans="1:14">
      <c r="A243" t="s">
        <v>72</v>
      </c>
      <c r="B243" t="s">
        <v>608</v>
      </c>
      <c r="C243" t="s">
        <v>609</v>
      </c>
      <c r="D243">
        <v>53</v>
      </c>
      <c r="E243">
        <v>26620</v>
      </c>
      <c r="F243" t="s">
        <v>75</v>
      </c>
      <c r="G243" t="s">
        <v>95</v>
      </c>
      <c r="H243" s="13">
        <v>21300</v>
      </c>
      <c r="I243">
        <v>79500</v>
      </c>
      <c r="J243" t="s">
        <v>48</v>
      </c>
      <c r="K243" t="s">
        <v>556</v>
      </c>
      <c r="M243" t="s">
        <v>48</v>
      </c>
      <c r="N243">
        <v>19000</v>
      </c>
    </row>
    <row r="244" spans="1:14">
      <c r="A244" t="s">
        <v>72</v>
      </c>
      <c r="B244" t="s">
        <v>610</v>
      </c>
      <c r="C244" t="s">
        <v>611</v>
      </c>
      <c r="D244">
        <v>69</v>
      </c>
      <c r="E244" s="12">
        <v>20943</v>
      </c>
      <c r="F244" t="s">
        <v>523</v>
      </c>
      <c r="H244">
        <v>13800</v>
      </c>
      <c r="I244">
        <v>62000</v>
      </c>
      <c r="J244" t="s">
        <v>48</v>
      </c>
      <c r="K244">
        <v>31</v>
      </c>
      <c r="M244" t="s">
        <v>48</v>
      </c>
      <c r="N244">
        <v>60500</v>
      </c>
    </row>
    <row r="245" spans="1:14">
      <c r="A245" t="s">
        <v>72</v>
      </c>
      <c r="B245" t="s">
        <v>612</v>
      </c>
      <c r="C245" t="s">
        <v>613</v>
      </c>
      <c r="D245">
        <v>27</v>
      </c>
      <c r="E245">
        <v>36316</v>
      </c>
      <c r="F245" t="s">
        <v>143</v>
      </c>
      <c r="G245" t="s">
        <v>213</v>
      </c>
      <c r="H245" s="14">
        <v>10700</v>
      </c>
      <c r="I245" t="s">
        <v>614</v>
      </c>
      <c r="J245" t="s">
        <v>48</v>
      </c>
      <c r="K245">
        <v>44</v>
      </c>
      <c r="M245" t="s">
        <v>48</v>
      </c>
      <c r="N245">
        <v>48000</v>
      </c>
    </row>
    <row r="246" spans="1:14">
      <c r="A246" t="s">
        <v>72</v>
      </c>
      <c r="B246" t="s">
        <v>615</v>
      </c>
      <c r="C246">
        <v>19300</v>
      </c>
      <c r="D246">
        <v>74</v>
      </c>
      <c r="E246" s="12">
        <v>19131</v>
      </c>
      <c r="F246" t="s">
        <v>220</v>
      </c>
      <c r="G246" t="s">
        <v>329</v>
      </c>
      <c r="H246">
        <v>20700</v>
      </c>
      <c r="I246" s="13">
        <v>17500</v>
      </c>
      <c r="J246" t="s">
        <v>48</v>
      </c>
      <c r="K246">
        <v>35</v>
      </c>
      <c r="M246" t="s">
        <v>48</v>
      </c>
      <c r="N246">
        <v>65000</v>
      </c>
    </row>
    <row r="247" spans="1:14">
      <c r="A247" t="s">
        <v>255</v>
      </c>
      <c r="B247" t="s">
        <v>616</v>
      </c>
      <c r="C247" t="s">
        <v>617</v>
      </c>
      <c r="E247">
        <v>39230</v>
      </c>
      <c r="F247" t="s">
        <v>168</v>
      </c>
      <c r="G247" t="s">
        <v>144</v>
      </c>
      <c r="H247" t="s">
        <v>618</v>
      </c>
      <c r="I247" s="14">
        <v>49500</v>
      </c>
      <c r="J247" t="s">
        <v>48</v>
      </c>
      <c r="K247">
        <v>25</v>
      </c>
      <c r="M247" t="s">
        <v>48</v>
      </c>
      <c r="N247">
        <v>46500</v>
      </c>
    </row>
    <row r="248" spans="1:14">
      <c r="A248" t="s">
        <v>77</v>
      </c>
      <c r="B248" t="s">
        <v>570</v>
      </c>
      <c r="C248" t="s">
        <v>571</v>
      </c>
      <c r="D248">
        <v>26</v>
      </c>
      <c r="E248">
        <v>36540</v>
      </c>
      <c r="F248" t="s">
        <v>84</v>
      </c>
      <c r="G248" t="s">
        <v>160</v>
      </c>
      <c r="H248">
        <v>24000</v>
      </c>
      <c r="I248" t="s">
        <v>572</v>
      </c>
      <c r="J248" t="s">
        <v>48</v>
      </c>
      <c r="K248">
        <v>30</v>
      </c>
      <c r="M248" t="s">
        <v>48</v>
      </c>
      <c r="N248">
        <v>11500</v>
      </c>
    </row>
    <row r="249" spans="1:14">
      <c r="A249" t="s">
        <v>72</v>
      </c>
      <c r="B249" t="s">
        <v>619</v>
      </c>
      <c r="C249" t="s">
        <v>620</v>
      </c>
      <c r="D249">
        <v>47</v>
      </c>
      <c r="E249" s="12">
        <v>28841</v>
      </c>
      <c r="F249" t="s">
        <v>179</v>
      </c>
      <c r="G249" t="s">
        <v>179</v>
      </c>
      <c r="H249" t="s">
        <v>621</v>
      </c>
      <c r="I249" s="14">
        <v>62000</v>
      </c>
      <c r="J249" t="s">
        <v>49</v>
      </c>
      <c r="K249">
        <v>37</v>
      </c>
      <c r="M249" t="s">
        <v>49</v>
      </c>
      <c r="N249">
        <v>92500</v>
      </c>
    </row>
    <row r="250" spans="1:14">
      <c r="A250" t="s">
        <v>72</v>
      </c>
      <c r="B250" t="s">
        <v>622</v>
      </c>
      <c r="C250" t="s">
        <v>623</v>
      </c>
      <c r="D250">
        <v>34</v>
      </c>
      <c r="E250">
        <v>33746</v>
      </c>
      <c r="F250" t="s">
        <v>179</v>
      </c>
      <c r="G250" t="s">
        <v>179</v>
      </c>
      <c r="H250">
        <v>28900</v>
      </c>
      <c r="I250">
        <v>37000</v>
      </c>
      <c r="J250" t="s">
        <v>48</v>
      </c>
      <c r="K250">
        <v>21</v>
      </c>
      <c r="M250" t="s">
        <v>48</v>
      </c>
      <c r="N250">
        <v>97500</v>
      </c>
    </row>
    <row r="251" spans="1:14">
      <c r="A251" t="s">
        <v>72</v>
      </c>
      <c r="B251" t="s">
        <v>624</v>
      </c>
      <c r="C251" t="s">
        <v>625</v>
      </c>
      <c r="D251">
        <v>30</v>
      </c>
      <c r="E251" s="12">
        <v>35180</v>
      </c>
      <c r="F251" t="s">
        <v>149</v>
      </c>
      <c r="G251" t="s">
        <v>137</v>
      </c>
      <c r="H251" s="13">
        <v>13800</v>
      </c>
      <c r="I251">
        <v>42000</v>
      </c>
      <c r="K251">
        <v>29</v>
      </c>
      <c r="N251">
        <v>7000</v>
      </c>
    </row>
    <row r="252" spans="1:14">
      <c r="A252" t="s">
        <v>77</v>
      </c>
      <c r="B252" t="s">
        <v>626</v>
      </c>
      <c r="C252" t="s">
        <v>627</v>
      </c>
      <c r="D252">
        <v>67</v>
      </c>
      <c r="E252" s="12">
        <v>21674</v>
      </c>
      <c r="F252" t="s">
        <v>240</v>
      </c>
      <c r="G252" t="s">
        <v>453</v>
      </c>
      <c r="H252">
        <v>15200</v>
      </c>
      <c r="I252">
        <v>67500</v>
      </c>
      <c r="J252" t="s">
        <v>48</v>
      </c>
      <c r="K252">
        <v>12</v>
      </c>
      <c r="M252" t="s">
        <v>48</v>
      </c>
      <c r="N252">
        <v>97500</v>
      </c>
    </row>
    <row r="253" spans="1:14">
      <c r="A253" t="s">
        <v>72</v>
      </c>
      <c r="B253" t="s">
        <v>628</v>
      </c>
      <c r="C253" t="s">
        <v>629</v>
      </c>
      <c r="D253">
        <v>59</v>
      </c>
      <c r="E253" s="12">
        <v>24578</v>
      </c>
      <c r="F253" t="s">
        <v>240</v>
      </c>
      <c r="H253">
        <v>6600</v>
      </c>
      <c r="I253">
        <v>50000</v>
      </c>
      <c r="J253" t="s">
        <v>49</v>
      </c>
      <c r="K253">
        <v>9</v>
      </c>
      <c r="M253" t="s">
        <v>49</v>
      </c>
      <c r="N253">
        <v>25000</v>
      </c>
    </row>
    <row r="254" spans="1:14">
      <c r="A254" t="s">
        <v>77</v>
      </c>
      <c r="B254" t="s">
        <v>630</v>
      </c>
      <c r="C254">
        <v>24300</v>
      </c>
      <c r="D254">
        <v>25</v>
      </c>
      <c r="E254">
        <v>37131</v>
      </c>
      <c r="F254" t="s">
        <v>98</v>
      </c>
      <c r="G254" t="s">
        <v>103</v>
      </c>
      <c r="H254" s="13">
        <v>24500</v>
      </c>
      <c r="I254" t="s">
        <v>87</v>
      </c>
      <c r="J254">
        <v>0</v>
      </c>
      <c r="K254">
        <v>0</v>
      </c>
      <c r="M254">
        <v>0</v>
      </c>
      <c r="N254">
        <v>55000</v>
      </c>
    </row>
    <row r="255" spans="1:14">
      <c r="A255" t="s">
        <v>72</v>
      </c>
      <c r="B255" t="s">
        <v>631</v>
      </c>
      <c r="C255" t="s">
        <v>632</v>
      </c>
      <c r="E255">
        <v>32796</v>
      </c>
      <c r="F255" t="s">
        <v>84</v>
      </c>
      <c r="G255" t="s">
        <v>85</v>
      </c>
      <c r="H255">
        <v>28600</v>
      </c>
      <c r="J255" t="s">
        <v>48</v>
      </c>
      <c r="K255">
        <v>19</v>
      </c>
      <c r="M255" t="s">
        <v>48</v>
      </c>
      <c r="N255">
        <v>90000</v>
      </c>
    </row>
    <row r="256" spans="1:14">
      <c r="A256" t="s">
        <v>77</v>
      </c>
      <c r="B256" t="s">
        <v>633</v>
      </c>
      <c r="C256" t="s">
        <v>634</v>
      </c>
      <c r="D256">
        <v>36</v>
      </c>
      <c r="E256">
        <v>32914</v>
      </c>
      <c r="F256" t="s">
        <v>240</v>
      </c>
      <c r="G256" t="s">
        <v>453</v>
      </c>
      <c r="H256">
        <v>27600</v>
      </c>
      <c r="I256">
        <v>37000</v>
      </c>
      <c r="J256" t="s">
        <v>48</v>
      </c>
      <c r="K256">
        <v>15</v>
      </c>
      <c r="M256" t="s">
        <v>48</v>
      </c>
      <c r="N256">
        <v>41500</v>
      </c>
    </row>
    <row r="257" spans="1:14">
      <c r="A257" t="s">
        <v>77</v>
      </c>
      <c r="B257" t="s">
        <v>635</v>
      </c>
      <c r="C257">
        <v>17100</v>
      </c>
      <c r="D257">
        <v>45</v>
      </c>
      <c r="E257">
        <v>29506</v>
      </c>
      <c r="F257" t="s">
        <v>300</v>
      </c>
      <c r="G257" t="s">
        <v>80</v>
      </c>
      <c r="H257">
        <v>5100</v>
      </c>
      <c r="I257" s="13">
        <v>25000</v>
      </c>
      <c r="J257" t="s">
        <v>48</v>
      </c>
      <c r="K257">
        <v>29</v>
      </c>
      <c r="M257" t="s">
        <v>48</v>
      </c>
      <c r="N257">
        <v>88000</v>
      </c>
    </row>
    <row r="258" spans="1:14">
      <c r="A258" t="s">
        <v>100</v>
      </c>
      <c r="B258" t="s">
        <v>636</v>
      </c>
      <c r="C258" t="s">
        <v>637</v>
      </c>
      <c r="D258">
        <v>56</v>
      </c>
      <c r="E258">
        <v>25551</v>
      </c>
      <c r="F258" t="s">
        <v>179</v>
      </c>
      <c r="G258" t="s">
        <v>179</v>
      </c>
      <c r="H258" s="14">
        <v>22600</v>
      </c>
      <c r="I258">
        <v>63000</v>
      </c>
      <c r="J258" t="s">
        <v>48</v>
      </c>
      <c r="K258">
        <v>33</v>
      </c>
      <c r="M258" t="s">
        <v>48</v>
      </c>
      <c r="N258">
        <v>53000</v>
      </c>
    </row>
    <row r="259" spans="1:14">
      <c r="A259" t="s">
        <v>72</v>
      </c>
      <c r="B259" t="s">
        <v>638</v>
      </c>
      <c r="C259" t="s">
        <v>639</v>
      </c>
      <c r="D259">
        <v>47</v>
      </c>
      <c r="E259" s="12">
        <v>29007</v>
      </c>
      <c r="F259" t="s">
        <v>116</v>
      </c>
      <c r="G259" t="s">
        <v>117</v>
      </c>
      <c r="H259">
        <v>5000</v>
      </c>
      <c r="I259" s="14">
        <v>75500</v>
      </c>
      <c r="J259" t="s">
        <v>49</v>
      </c>
      <c r="K259">
        <v>2</v>
      </c>
      <c r="M259" t="s">
        <v>49</v>
      </c>
      <c r="N259">
        <v>89500</v>
      </c>
    </row>
    <row r="260" spans="1:14">
      <c r="A260" t="s">
        <v>72</v>
      </c>
      <c r="B260" t="s">
        <v>158</v>
      </c>
      <c r="C260" t="s">
        <v>640</v>
      </c>
      <c r="D260">
        <v>44</v>
      </c>
      <c r="E260" s="12">
        <v>30069</v>
      </c>
      <c r="F260" t="s">
        <v>133</v>
      </c>
      <c r="G260" t="s">
        <v>134</v>
      </c>
      <c r="H260">
        <v>21700</v>
      </c>
      <c r="I260">
        <v>34500</v>
      </c>
      <c r="J260" t="s">
        <v>242</v>
      </c>
      <c r="K260">
        <v>29</v>
      </c>
      <c r="M260" t="s">
        <v>242</v>
      </c>
      <c r="N260">
        <v>10500</v>
      </c>
    </row>
    <row r="261" spans="1:14">
      <c r="A261" t="s">
        <v>72</v>
      </c>
      <c r="B261" t="s">
        <v>641</v>
      </c>
      <c r="C261">
        <v>15900</v>
      </c>
      <c r="D261">
        <v>26</v>
      </c>
      <c r="E261" s="12">
        <v>36411</v>
      </c>
      <c r="F261" t="s">
        <v>133</v>
      </c>
      <c r="G261" t="s">
        <v>134</v>
      </c>
      <c r="H261" t="s">
        <v>642</v>
      </c>
      <c r="I261" s="13">
        <v>68500</v>
      </c>
      <c r="J261" t="s">
        <v>48</v>
      </c>
      <c r="K261">
        <v>27</v>
      </c>
      <c r="M261" t="s">
        <v>48</v>
      </c>
      <c r="N261">
        <v>7000</v>
      </c>
    </row>
    <row r="262" spans="1:14">
      <c r="A262" t="s">
        <v>77</v>
      </c>
      <c r="B262" t="s">
        <v>643</v>
      </c>
      <c r="C262" t="s">
        <v>644</v>
      </c>
      <c r="D262">
        <v>49</v>
      </c>
      <c r="E262" s="12">
        <v>28286</v>
      </c>
      <c r="F262" t="s">
        <v>107</v>
      </c>
      <c r="G262" t="s">
        <v>108</v>
      </c>
      <c r="H262">
        <v>21900</v>
      </c>
      <c r="I262">
        <v>69000</v>
      </c>
      <c r="J262" t="s">
        <v>48</v>
      </c>
      <c r="K262" t="s">
        <v>645</v>
      </c>
      <c r="M262" t="s">
        <v>48</v>
      </c>
      <c r="N262">
        <v>80500</v>
      </c>
    </row>
    <row r="263" spans="1:14">
      <c r="A263" t="s">
        <v>72</v>
      </c>
      <c r="B263" t="s">
        <v>646</v>
      </c>
      <c r="C263" t="s">
        <v>647</v>
      </c>
      <c r="D263">
        <v>71</v>
      </c>
      <c r="E263">
        <v>20187</v>
      </c>
      <c r="F263" t="s">
        <v>122</v>
      </c>
      <c r="G263" t="s">
        <v>117</v>
      </c>
      <c r="H263">
        <v>29200</v>
      </c>
      <c r="I263">
        <v>73500</v>
      </c>
      <c r="J263" t="s">
        <v>48</v>
      </c>
      <c r="K263">
        <v>2</v>
      </c>
      <c r="M263" t="s">
        <v>48</v>
      </c>
      <c r="N263">
        <v>33000</v>
      </c>
    </row>
    <row r="264" spans="1:14">
      <c r="A264" t="s">
        <v>72</v>
      </c>
      <c r="B264" t="s">
        <v>648</v>
      </c>
      <c r="C264" t="s">
        <v>649</v>
      </c>
      <c r="D264">
        <v>65</v>
      </c>
      <c r="E264">
        <v>22314</v>
      </c>
      <c r="F264" t="s">
        <v>79</v>
      </c>
      <c r="G264" t="s">
        <v>301</v>
      </c>
      <c r="H264">
        <v>6100</v>
      </c>
      <c r="I264">
        <v>40000</v>
      </c>
      <c r="J264" t="s">
        <v>48</v>
      </c>
      <c r="K264" t="s">
        <v>650</v>
      </c>
      <c r="M264" t="s">
        <v>48</v>
      </c>
      <c r="N264">
        <v>22500</v>
      </c>
    </row>
    <row r="265" spans="1:14">
      <c r="A265" t="s">
        <v>72</v>
      </c>
      <c r="B265" t="s">
        <v>651</v>
      </c>
      <c r="C265" t="s">
        <v>652</v>
      </c>
      <c r="D265">
        <v>65</v>
      </c>
      <c r="E265">
        <v>22297</v>
      </c>
      <c r="F265" t="s">
        <v>98</v>
      </c>
      <c r="G265" t="s">
        <v>103</v>
      </c>
      <c r="H265" s="14">
        <v>27300</v>
      </c>
      <c r="I265">
        <v>48500</v>
      </c>
      <c r="J265" t="s">
        <v>48</v>
      </c>
      <c r="K265">
        <v>29</v>
      </c>
      <c r="M265" t="s">
        <v>48</v>
      </c>
      <c r="N265">
        <v>94000</v>
      </c>
    </row>
    <row r="266" spans="1:14">
      <c r="A266" t="s">
        <v>72</v>
      </c>
      <c r="B266" t="s">
        <v>653</v>
      </c>
      <c r="C266" t="s">
        <v>654</v>
      </c>
      <c r="D266">
        <v>57</v>
      </c>
      <c r="E266">
        <v>25350</v>
      </c>
      <c r="F266" t="s">
        <v>164</v>
      </c>
      <c r="G266" t="s">
        <v>134</v>
      </c>
      <c r="H266">
        <v>20600</v>
      </c>
      <c r="I266">
        <v>52500</v>
      </c>
      <c r="K266">
        <v>16</v>
      </c>
      <c r="N266">
        <v>97000</v>
      </c>
    </row>
    <row r="267" spans="1:14">
      <c r="A267" t="s">
        <v>72</v>
      </c>
      <c r="B267" t="s">
        <v>655</v>
      </c>
      <c r="C267">
        <v>2800</v>
      </c>
      <c r="D267">
        <v>24</v>
      </c>
      <c r="E267">
        <v>37470</v>
      </c>
      <c r="F267" t="s">
        <v>300</v>
      </c>
      <c r="G267" t="s">
        <v>183</v>
      </c>
      <c r="H267">
        <v>16900</v>
      </c>
      <c r="I267">
        <v>42500</v>
      </c>
      <c r="J267" t="s">
        <v>49</v>
      </c>
      <c r="K267" t="s">
        <v>656</v>
      </c>
      <c r="M267" t="s">
        <v>49</v>
      </c>
      <c r="N267">
        <v>12500</v>
      </c>
    </row>
    <row r="268" spans="1:14">
      <c r="A268" t="s">
        <v>77</v>
      </c>
      <c r="B268" t="s">
        <v>657</v>
      </c>
      <c r="C268" t="s">
        <v>658</v>
      </c>
      <c r="D268">
        <v>55</v>
      </c>
      <c r="E268" s="12">
        <v>25848</v>
      </c>
      <c r="F268" t="s">
        <v>116</v>
      </c>
      <c r="G268" t="s">
        <v>117</v>
      </c>
      <c r="I268">
        <v>5000</v>
      </c>
      <c r="J268" t="s">
        <v>48</v>
      </c>
      <c r="K268">
        <v>8</v>
      </c>
      <c r="M268" t="s">
        <v>48</v>
      </c>
      <c r="N268">
        <v>11000</v>
      </c>
    </row>
    <row r="269" spans="1:14">
      <c r="A269" t="s">
        <v>72</v>
      </c>
      <c r="B269" t="s">
        <v>612</v>
      </c>
      <c r="C269" t="s">
        <v>659</v>
      </c>
      <c r="D269">
        <v>67</v>
      </c>
      <c r="E269" s="12">
        <v>21573</v>
      </c>
      <c r="F269" t="s">
        <v>240</v>
      </c>
      <c r="G269" t="s">
        <v>241</v>
      </c>
      <c r="H269">
        <v>6400</v>
      </c>
      <c r="I269">
        <v>1000</v>
      </c>
      <c r="J269" t="s">
        <v>242</v>
      </c>
      <c r="K269">
        <v>27</v>
      </c>
      <c r="M269" t="s">
        <v>242</v>
      </c>
      <c r="N269">
        <v>50000</v>
      </c>
    </row>
    <row r="270" spans="1:14">
      <c r="A270" t="s">
        <v>72</v>
      </c>
      <c r="B270" t="s">
        <v>660</v>
      </c>
      <c r="C270">
        <v>15600</v>
      </c>
      <c r="D270">
        <v>44</v>
      </c>
      <c r="E270">
        <v>29843</v>
      </c>
      <c r="F270" t="s">
        <v>84</v>
      </c>
      <c r="G270" t="s">
        <v>85</v>
      </c>
      <c r="H270">
        <v>11300</v>
      </c>
      <c r="I270">
        <v>55000</v>
      </c>
      <c r="J270" t="s">
        <v>48</v>
      </c>
      <c r="K270">
        <v>38</v>
      </c>
      <c r="M270" t="s">
        <v>48</v>
      </c>
      <c r="N270">
        <v>68500</v>
      </c>
    </row>
    <row r="271" spans="1:14">
      <c r="A271" t="s">
        <v>72</v>
      </c>
      <c r="B271" t="s">
        <v>661</v>
      </c>
      <c r="C271" t="s">
        <v>662</v>
      </c>
      <c r="D271">
        <v>33</v>
      </c>
      <c r="E271">
        <v>34070</v>
      </c>
      <c r="F271" t="s">
        <v>300</v>
      </c>
      <c r="G271" t="s">
        <v>183</v>
      </c>
      <c r="H271">
        <v>29300</v>
      </c>
      <c r="I271">
        <v>69000</v>
      </c>
      <c r="J271" t="s">
        <v>49</v>
      </c>
      <c r="K271">
        <v>0</v>
      </c>
      <c r="M271" t="s">
        <v>49</v>
      </c>
      <c r="N271">
        <v>4500</v>
      </c>
    </row>
    <row r="272" spans="1:14">
      <c r="A272" t="s">
        <v>72</v>
      </c>
      <c r="B272" t="s">
        <v>663</v>
      </c>
      <c r="C272" t="s">
        <v>664</v>
      </c>
      <c r="D272">
        <v>24</v>
      </c>
      <c r="E272">
        <v>37394</v>
      </c>
      <c r="F272" t="s">
        <v>665</v>
      </c>
      <c r="H272">
        <v>14200</v>
      </c>
      <c r="I272">
        <v>71000</v>
      </c>
      <c r="J272" t="s">
        <v>48</v>
      </c>
      <c r="K272">
        <v>10</v>
      </c>
      <c r="M272" t="s">
        <v>48</v>
      </c>
      <c r="N272">
        <v>91500</v>
      </c>
    </row>
    <row r="273" spans="1:14">
      <c r="A273" t="s">
        <v>72</v>
      </c>
      <c r="B273" t="s">
        <v>666</v>
      </c>
      <c r="C273">
        <v>31900</v>
      </c>
      <c r="D273">
        <v>20</v>
      </c>
      <c r="E273">
        <v>38678</v>
      </c>
      <c r="F273" t="s">
        <v>122</v>
      </c>
      <c r="G273" t="s">
        <v>117</v>
      </c>
      <c r="H273" s="14">
        <v>9300</v>
      </c>
      <c r="I273" s="14">
        <v>35000</v>
      </c>
      <c r="J273" t="s">
        <v>48</v>
      </c>
      <c r="K273">
        <v>5</v>
      </c>
      <c r="M273" t="s">
        <v>48</v>
      </c>
      <c r="N273">
        <v>10500</v>
      </c>
    </row>
    <row r="274" spans="1:14">
      <c r="A274" t="s">
        <v>77</v>
      </c>
      <c r="B274" t="s">
        <v>667</v>
      </c>
      <c r="C274" t="s">
        <v>668</v>
      </c>
      <c r="D274">
        <v>20</v>
      </c>
      <c r="E274" s="12">
        <v>38704</v>
      </c>
      <c r="F274" t="s">
        <v>300</v>
      </c>
      <c r="G274" t="s">
        <v>130</v>
      </c>
      <c r="H274">
        <v>12900</v>
      </c>
      <c r="I274" s="13">
        <v>26500</v>
      </c>
      <c r="J274" t="s">
        <v>48</v>
      </c>
      <c r="K274">
        <v>13</v>
      </c>
      <c r="M274" t="s">
        <v>48</v>
      </c>
      <c r="N274">
        <v>2000</v>
      </c>
    </row>
    <row r="275" spans="1:14">
      <c r="A275" t="s">
        <v>72</v>
      </c>
      <c r="B275" t="s">
        <v>669</v>
      </c>
      <c r="C275" t="s">
        <v>670</v>
      </c>
      <c r="E275">
        <v>36337</v>
      </c>
      <c r="F275" t="s">
        <v>165</v>
      </c>
      <c r="G275" t="s">
        <v>137</v>
      </c>
      <c r="H275">
        <v>22500</v>
      </c>
      <c r="I275">
        <v>55500</v>
      </c>
      <c r="J275" t="s">
        <v>48</v>
      </c>
      <c r="K275">
        <v>32</v>
      </c>
      <c r="M275" t="s">
        <v>48</v>
      </c>
      <c r="N275">
        <v>91500</v>
      </c>
    </row>
    <row r="276" spans="1:14">
      <c r="A276" t="s">
        <v>72</v>
      </c>
      <c r="B276" t="s">
        <v>671</v>
      </c>
      <c r="C276">
        <v>29500</v>
      </c>
      <c r="D276">
        <v>68</v>
      </c>
      <c r="E276" s="12">
        <v>21079</v>
      </c>
      <c r="F276" t="s">
        <v>240</v>
      </c>
      <c r="G276" t="s">
        <v>245</v>
      </c>
      <c r="H276" t="s">
        <v>672</v>
      </c>
      <c r="I276">
        <v>64500</v>
      </c>
      <c r="J276" t="s">
        <v>49</v>
      </c>
      <c r="K276">
        <v>32</v>
      </c>
      <c r="M276" t="s">
        <v>49</v>
      </c>
      <c r="N276">
        <v>35500</v>
      </c>
    </row>
    <row r="277" spans="1:14">
      <c r="A277" t="s">
        <v>72</v>
      </c>
      <c r="B277" t="s">
        <v>521</v>
      </c>
      <c r="C277" t="s">
        <v>673</v>
      </c>
      <c r="D277">
        <v>53</v>
      </c>
      <c r="E277" s="12">
        <v>26558</v>
      </c>
      <c r="F277" t="s">
        <v>84</v>
      </c>
      <c r="G277" t="s">
        <v>160</v>
      </c>
      <c r="H277">
        <v>15500</v>
      </c>
      <c r="J277" t="s">
        <v>48</v>
      </c>
      <c r="K277">
        <v>16</v>
      </c>
      <c r="M277" t="s">
        <v>48</v>
      </c>
      <c r="N277">
        <v>41000</v>
      </c>
    </row>
    <row r="278" spans="1:14">
      <c r="A278" t="s">
        <v>72</v>
      </c>
      <c r="B278" t="s">
        <v>674</v>
      </c>
      <c r="C278" t="s">
        <v>675</v>
      </c>
      <c r="D278">
        <v>62</v>
      </c>
      <c r="F278" t="s">
        <v>168</v>
      </c>
      <c r="G278" t="s">
        <v>144</v>
      </c>
      <c r="H278">
        <v>1900</v>
      </c>
      <c r="I278">
        <v>3500</v>
      </c>
      <c r="J278" t="s">
        <v>48</v>
      </c>
      <c r="K278">
        <v>19</v>
      </c>
      <c r="M278" t="s">
        <v>48</v>
      </c>
      <c r="N278">
        <v>62000</v>
      </c>
    </row>
    <row r="279" spans="1:14">
      <c r="A279" t="s">
        <v>72</v>
      </c>
      <c r="B279" t="s">
        <v>676</v>
      </c>
      <c r="C279" t="s">
        <v>677</v>
      </c>
      <c r="D279">
        <v>61</v>
      </c>
      <c r="E279" s="12">
        <v>23964</v>
      </c>
      <c r="F279" t="s">
        <v>149</v>
      </c>
      <c r="G279" t="s">
        <v>150</v>
      </c>
      <c r="H279">
        <v>7000</v>
      </c>
      <c r="I279">
        <v>1500</v>
      </c>
      <c r="J279" t="s">
        <v>49</v>
      </c>
      <c r="K279">
        <v>32</v>
      </c>
      <c r="M279" t="s">
        <v>49</v>
      </c>
      <c r="N279">
        <v>53000</v>
      </c>
    </row>
    <row r="280" spans="1:14">
      <c r="A280" t="s">
        <v>72</v>
      </c>
      <c r="B280" t="s">
        <v>678</v>
      </c>
      <c r="C280" t="s">
        <v>679</v>
      </c>
      <c r="D280">
        <v>25</v>
      </c>
      <c r="E280">
        <v>37118</v>
      </c>
      <c r="F280" t="s">
        <v>168</v>
      </c>
      <c r="G280" t="s">
        <v>144</v>
      </c>
      <c r="H280" t="s">
        <v>680</v>
      </c>
      <c r="I280">
        <v>1500</v>
      </c>
      <c r="J280">
        <v>1</v>
      </c>
      <c r="K280">
        <v>33</v>
      </c>
      <c r="M280">
        <v>1</v>
      </c>
      <c r="N280">
        <v>14000</v>
      </c>
    </row>
    <row r="281" spans="1:14">
      <c r="A281" t="s">
        <v>255</v>
      </c>
      <c r="B281" t="s">
        <v>681</v>
      </c>
      <c r="C281" t="s">
        <v>682</v>
      </c>
      <c r="D281">
        <v>52</v>
      </c>
      <c r="E281">
        <v>27088</v>
      </c>
      <c r="F281" t="s">
        <v>79</v>
      </c>
      <c r="G281" t="s">
        <v>301</v>
      </c>
      <c r="H281">
        <v>24900</v>
      </c>
      <c r="I281">
        <v>0</v>
      </c>
      <c r="J281" t="s">
        <v>48</v>
      </c>
      <c r="K281" t="s">
        <v>356</v>
      </c>
      <c r="M281" t="s">
        <v>48</v>
      </c>
      <c r="N281">
        <v>16000</v>
      </c>
    </row>
    <row r="282" spans="1:14">
      <c r="A282" t="s">
        <v>77</v>
      </c>
      <c r="B282" t="s">
        <v>683</v>
      </c>
      <c r="C282" t="s">
        <v>684</v>
      </c>
      <c r="D282">
        <v>33</v>
      </c>
      <c r="E282">
        <v>33989</v>
      </c>
      <c r="F282" t="s">
        <v>220</v>
      </c>
      <c r="G282" t="s">
        <v>160</v>
      </c>
      <c r="H282">
        <v>23400</v>
      </c>
      <c r="I282">
        <v>59000</v>
      </c>
      <c r="J282" t="s">
        <v>177</v>
      </c>
      <c r="K282">
        <v>35</v>
      </c>
      <c r="M282" t="s">
        <v>177</v>
      </c>
      <c r="N282">
        <v>39000</v>
      </c>
    </row>
    <row r="283" spans="1:14">
      <c r="A283" t="s">
        <v>77</v>
      </c>
      <c r="B283" t="s">
        <v>685</v>
      </c>
      <c r="C283" t="s">
        <v>686</v>
      </c>
      <c r="D283">
        <v>48</v>
      </c>
      <c r="E283">
        <v>28737</v>
      </c>
      <c r="F283" t="s">
        <v>220</v>
      </c>
      <c r="G283" t="s">
        <v>85</v>
      </c>
      <c r="H283">
        <v>12400</v>
      </c>
      <c r="I283">
        <v>0</v>
      </c>
      <c r="J283" t="s">
        <v>48</v>
      </c>
      <c r="K283">
        <v>25</v>
      </c>
      <c r="M283" t="s">
        <v>48</v>
      </c>
      <c r="N283">
        <v>65500</v>
      </c>
    </row>
    <row r="284" spans="1:14">
      <c r="A284" t="s">
        <v>77</v>
      </c>
      <c r="B284" t="s">
        <v>687</v>
      </c>
      <c r="C284" t="s">
        <v>688</v>
      </c>
      <c r="D284">
        <v>55</v>
      </c>
      <c r="E284" s="12">
        <v>26142</v>
      </c>
      <c r="F284" t="s">
        <v>75</v>
      </c>
      <c r="G284" t="s">
        <v>434</v>
      </c>
      <c r="H284" t="s">
        <v>689</v>
      </c>
      <c r="I284" t="s">
        <v>550</v>
      </c>
      <c r="J284" t="s">
        <v>49</v>
      </c>
      <c r="K284">
        <v>14</v>
      </c>
      <c r="M284" t="s">
        <v>49</v>
      </c>
      <c r="N284">
        <v>27000</v>
      </c>
    </row>
    <row r="285" spans="1:14">
      <c r="A285" t="s">
        <v>72</v>
      </c>
      <c r="B285" t="s">
        <v>690</v>
      </c>
      <c r="C285" t="s">
        <v>691</v>
      </c>
      <c r="D285">
        <v>28</v>
      </c>
      <c r="F285" t="s">
        <v>122</v>
      </c>
      <c r="G285" t="s">
        <v>117</v>
      </c>
      <c r="H285">
        <v>14500</v>
      </c>
      <c r="I285">
        <v>39500</v>
      </c>
      <c r="J285" t="s">
        <v>48</v>
      </c>
      <c r="K285">
        <v>18</v>
      </c>
      <c r="M285" t="s">
        <v>48</v>
      </c>
      <c r="N285">
        <v>32000</v>
      </c>
    </row>
    <row r="286" spans="1:14">
      <c r="A286" t="s">
        <v>72</v>
      </c>
      <c r="B286" t="s">
        <v>692</v>
      </c>
      <c r="C286" t="s">
        <v>693</v>
      </c>
      <c r="D286">
        <v>52</v>
      </c>
      <c r="E286" s="12">
        <v>26921</v>
      </c>
      <c r="F286" t="s">
        <v>149</v>
      </c>
      <c r="G286" t="s">
        <v>137</v>
      </c>
      <c r="H286">
        <v>7300</v>
      </c>
      <c r="I286" t="s">
        <v>694</v>
      </c>
      <c r="J286" t="s">
        <v>48</v>
      </c>
      <c r="K286">
        <v>40</v>
      </c>
      <c r="M286" t="s">
        <v>48</v>
      </c>
      <c r="N286">
        <v>34500</v>
      </c>
    </row>
    <row r="287" spans="1:14">
      <c r="A287" t="s">
        <v>72</v>
      </c>
      <c r="B287" t="s">
        <v>695</v>
      </c>
      <c r="C287" t="s">
        <v>696</v>
      </c>
      <c r="D287">
        <v>63</v>
      </c>
      <c r="E287" s="12">
        <v>23006</v>
      </c>
      <c r="F287" t="s">
        <v>697</v>
      </c>
      <c r="H287">
        <v>11200</v>
      </c>
      <c r="K287">
        <v>41</v>
      </c>
      <c r="N287">
        <v>83500</v>
      </c>
    </row>
    <row r="288" spans="1:14">
      <c r="A288" t="s">
        <v>72</v>
      </c>
      <c r="B288" t="s">
        <v>698</v>
      </c>
      <c r="C288" t="s">
        <v>699</v>
      </c>
      <c r="D288">
        <v>53</v>
      </c>
      <c r="E288" s="12">
        <v>26840</v>
      </c>
      <c r="F288" t="s">
        <v>700</v>
      </c>
      <c r="H288">
        <v>9500</v>
      </c>
      <c r="I288" s="14">
        <v>66500</v>
      </c>
      <c r="J288" t="s">
        <v>49</v>
      </c>
      <c r="K288">
        <v>38</v>
      </c>
      <c r="M288" t="s">
        <v>49</v>
      </c>
      <c r="N288">
        <v>42500</v>
      </c>
    </row>
    <row r="289" spans="1:14">
      <c r="A289" t="s">
        <v>72</v>
      </c>
      <c r="B289" t="s">
        <v>701</v>
      </c>
      <c r="C289" t="s">
        <v>702</v>
      </c>
      <c r="D289">
        <v>71</v>
      </c>
      <c r="E289">
        <v>20275</v>
      </c>
      <c r="F289" t="s">
        <v>98</v>
      </c>
      <c r="G289" t="s">
        <v>103</v>
      </c>
      <c r="H289">
        <v>14200</v>
      </c>
      <c r="I289">
        <v>51000</v>
      </c>
      <c r="J289" t="s">
        <v>48</v>
      </c>
      <c r="K289">
        <v>10</v>
      </c>
      <c r="M289" t="s">
        <v>48</v>
      </c>
      <c r="N289">
        <v>90500</v>
      </c>
    </row>
    <row r="290" spans="1:14">
      <c r="A290" t="s">
        <v>72</v>
      </c>
      <c r="B290" t="s">
        <v>521</v>
      </c>
      <c r="C290" t="s">
        <v>522</v>
      </c>
      <c r="D290">
        <v>37</v>
      </c>
      <c r="E290">
        <v>32414</v>
      </c>
      <c r="F290" t="s">
        <v>523</v>
      </c>
      <c r="H290">
        <v>12800</v>
      </c>
      <c r="I290">
        <v>76500</v>
      </c>
      <c r="J290" t="s">
        <v>48</v>
      </c>
      <c r="K290" t="s">
        <v>463</v>
      </c>
      <c r="M290" t="s">
        <v>48</v>
      </c>
      <c r="N290">
        <v>95000</v>
      </c>
    </row>
    <row r="291" spans="1:14">
      <c r="A291" t="s">
        <v>72</v>
      </c>
      <c r="B291" t="s">
        <v>703</v>
      </c>
      <c r="C291" t="s">
        <v>704</v>
      </c>
      <c r="D291">
        <v>22</v>
      </c>
      <c r="E291">
        <v>37936</v>
      </c>
      <c r="F291" t="s">
        <v>75</v>
      </c>
      <c r="G291" t="s">
        <v>95</v>
      </c>
      <c r="H291" s="14">
        <v>4100</v>
      </c>
      <c r="I291">
        <v>2000</v>
      </c>
      <c r="J291" t="s">
        <v>48</v>
      </c>
      <c r="K291">
        <v>8</v>
      </c>
      <c r="M291" t="s">
        <v>48</v>
      </c>
      <c r="N291">
        <v>4000</v>
      </c>
    </row>
    <row r="292" spans="1:14">
      <c r="A292" t="s">
        <v>72</v>
      </c>
      <c r="B292" t="s">
        <v>705</v>
      </c>
      <c r="C292" t="s">
        <v>706</v>
      </c>
      <c r="D292">
        <v>37</v>
      </c>
      <c r="E292">
        <v>32680</v>
      </c>
      <c r="F292" t="s">
        <v>122</v>
      </c>
      <c r="G292" t="s">
        <v>117</v>
      </c>
      <c r="H292">
        <v>28900</v>
      </c>
      <c r="I292">
        <v>71000</v>
      </c>
      <c r="J292" t="s">
        <v>48</v>
      </c>
      <c r="K292">
        <v>28</v>
      </c>
      <c r="M292" t="s">
        <v>48</v>
      </c>
      <c r="N292">
        <v>36500</v>
      </c>
    </row>
    <row r="293" spans="1:14">
      <c r="A293" t="s">
        <v>72</v>
      </c>
      <c r="B293" t="s">
        <v>707</v>
      </c>
      <c r="C293">
        <v>13200</v>
      </c>
      <c r="D293">
        <v>29</v>
      </c>
      <c r="E293">
        <v>35334</v>
      </c>
      <c r="F293" t="s">
        <v>107</v>
      </c>
      <c r="G293" t="s">
        <v>127</v>
      </c>
      <c r="H293">
        <v>19500</v>
      </c>
      <c r="I293" s="13">
        <v>57000</v>
      </c>
      <c r="J293" t="s">
        <v>48</v>
      </c>
      <c r="K293">
        <v>12</v>
      </c>
      <c r="M293" t="s">
        <v>48</v>
      </c>
      <c r="N293">
        <v>20500</v>
      </c>
    </row>
    <row r="294" spans="1:14">
      <c r="A294" t="s">
        <v>72</v>
      </c>
      <c r="B294" t="s">
        <v>486</v>
      </c>
      <c r="C294" t="s">
        <v>708</v>
      </c>
      <c r="D294">
        <v>51</v>
      </c>
      <c r="E294" s="12">
        <v>27421</v>
      </c>
      <c r="F294" t="s">
        <v>179</v>
      </c>
      <c r="G294" t="s">
        <v>179</v>
      </c>
      <c r="H294">
        <v>26000</v>
      </c>
      <c r="I294">
        <v>47500</v>
      </c>
      <c r="J294" t="s">
        <v>48</v>
      </c>
      <c r="K294">
        <v>45</v>
      </c>
      <c r="M294" t="s">
        <v>48</v>
      </c>
      <c r="N294">
        <v>60500</v>
      </c>
    </row>
    <row r="295" spans="1:14">
      <c r="A295" t="s">
        <v>77</v>
      </c>
      <c r="B295" t="s">
        <v>709</v>
      </c>
      <c r="C295" t="s">
        <v>710</v>
      </c>
      <c r="D295">
        <v>74</v>
      </c>
      <c r="E295" s="12">
        <v>19047</v>
      </c>
      <c r="F295" t="s">
        <v>98</v>
      </c>
      <c r="G295" t="s">
        <v>103</v>
      </c>
      <c r="H295">
        <v>24000</v>
      </c>
      <c r="I295">
        <v>35000</v>
      </c>
      <c r="J295" t="s">
        <v>48</v>
      </c>
      <c r="K295" t="s">
        <v>711</v>
      </c>
      <c r="M295" t="s">
        <v>48</v>
      </c>
      <c r="N295">
        <v>29500</v>
      </c>
    </row>
    <row r="296" spans="1:14">
      <c r="A296" t="s">
        <v>72</v>
      </c>
      <c r="B296" t="s">
        <v>712</v>
      </c>
      <c r="C296" t="s">
        <v>713</v>
      </c>
      <c r="D296">
        <v>19</v>
      </c>
      <c r="E296">
        <v>39016</v>
      </c>
      <c r="F296" t="s">
        <v>107</v>
      </c>
      <c r="G296" t="s">
        <v>262</v>
      </c>
      <c r="H296" s="14">
        <v>14900</v>
      </c>
      <c r="I296">
        <v>17000</v>
      </c>
      <c r="J296" t="s">
        <v>48</v>
      </c>
      <c r="K296">
        <v>20</v>
      </c>
      <c r="M296" t="s">
        <v>48</v>
      </c>
      <c r="N296">
        <v>29500</v>
      </c>
    </row>
    <row r="297" spans="1:14">
      <c r="A297" t="s">
        <v>77</v>
      </c>
      <c r="B297" t="s">
        <v>714</v>
      </c>
      <c r="C297">
        <v>32700</v>
      </c>
      <c r="D297">
        <v>57</v>
      </c>
      <c r="E297" s="12">
        <v>25369</v>
      </c>
      <c r="F297" t="s">
        <v>122</v>
      </c>
      <c r="G297" t="s">
        <v>254</v>
      </c>
      <c r="H297">
        <v>28600</v>
      </c>
      <c r="I297" s="13">
        <v>73500</v>
      </c>
      <c r="J297" t="s">
        <v>48</v>
      </c>
      <c r="K297">
        <v>29</v>
      </c>
      <c r="M297" t="s">
        <v>48</v>
      </c>
      <c r="N297">
        <v>93500</v>
      </c>
    </row>
    <row r="298" spans="1:14">
      <c r="A298" t="s">
        <v>77</v>
      </c>
      <c r="B298" t="s">
        <v>715</v>
      </c>
      <c r="C298">
        <v>19200</v>
      </c>
      <c r="D298">
        <v>50</v>
      </c>
      <c r="E298">
        <v>27833</v>
      </c>
      <c r="F298" t="s">
        <v>536</v>
      </c>
      <c r="H298">
        <v>16200</v>
      </c>
      <c r="I298" s="13">
        <v>25000</v>
      </c>
      <c r="J298" t="s">
        <v>242</v>
      </c>
      <c r="K298">
        <v>26</v>
      </c>
      <c r="M298" t="s">
        <v>242</v>
      </c>
      <c r="N298">
        <v>65000</v>
      </c>
    </row>
    <row r="299" spans="1:14">
      <c r="A299" t="s">
        <v>72</v>
      </c>
      <c r="B299" t="s">
        <v>439</v>
      </c>
      <c r="C299">
        <v>28500</v>
      </c>
      <c r="D299" t="s">
        <v>716</v>
      </c>
      <c r="E299">
        <v>31115</v>
      </c>
      <c r="F299" t="s">
        <v>136</v>
      </c>
      <c r="G299" t="s">
        <v>137</v>
      </c>
      <c r="H299">
        <v>23100</v>
      </c>
      <c r="I299">
        <v>36000</v>
      </c>
      <c r="J299" t="s">
        <v>48</v>
      </c>
      <c r="K299">
        <v>19</v>
      </c>
      <c r="M299" t="s">
        <v>48</v>
      </c>
      <c r="N299">
        <v>37500</v>
      </c>
    </row>
    <row r="300" spans="1:14">
      <c r="A300" t="s">
        <v>72</v>
      </c>
      <c r="B300" t="s">
        <v>717</v>
      </c>
      <c r="C300">
        <v>13700</v>
      </c>
      <c r="D300">
        <v>73</v>
      </c>
      <c r="E300" s="12">
        <v>19323</v>
      </c>
      <c r="F300" t="s">
        <v>240</v>
      </c>
      <c r="G300" t="s">
        <v>453</v>
      </c>
      <c r="H300">
        <v>18100</v>
      </c>
      <c r="I300">
        <v>0</v>
      </c>
      <c r="J300" t="s">
        <v>48</v>
      </c>
      <c r="K300">
        <v>36</v>
      </c>
      <c r="M300" t="s">
        <v>48</v>
      </c>
      <c r="N300">
        <v>89000</v>
      </c>
    </row>
    <row r="301" spans="1:14">
      <c r="A301" t="s">
        <v>169</v>
      </c>
      <c r="B301" t="s">
        <v>718</v>
      </c>
      <c r="C301">
        <v>33100</v>
      </c>
      <c r="E301">
        <v>36759</v>
      </c>
      <c r="F301" t="s">
        <v>179</v>
      </c>
      <c r="G301" t="s">
        <v>179</v>
      </c>
      <c r="H301">
        <v>23200</v>
      </c>
      <c r="I301">
        <v>54500</v>
      </c>
      <c r="J301">
        <v>1</v>
      </c>
      <c r="K301">
        <v>26</v>
      </c>
      <c r="M301">
        <v>1</v>
      </c>
      <c r="N301">
        <v>75000</v>
      </c>
    </row>
    <row r="302" spans="1:14">
      <c r="A302" t="s">
        <v>72</v>
      </c>
      <c r="B302" t="s">
        <v>719</v>
      </c>
      <c r="C302" t="s">
        <v>720</v>
      </c>
      <c r="D302">
        <v>25</v>
      </c>
      <c r="E302" s="12">
        <v>36792</v>
      </c>
      <c r="F302" t="s">
        <v>75</v>
      </c>
      <c r="G302" t="s">
        <v>76</v>
      </c>
      <c r="H302">
        <v>22100</v>
      </c>
      <c r="I302">
        <v>30500</v>
      </c>
      <c r="J302" t="s">
        <v>48</v>
      </c>
      <c r="K302" t="s">
        <v>266</v>
      </c>
      <c r="M302" t="s">
        <v>48</v>
      </c>
      <c r="N302">
        <v>48000</v>
      </c>
    </row>
    <row r="303" spans="1:14">
      <c r="A303" t="s">
        <v>100</v>
      </c>
      <c r="B303" t="s">
        <v>721</v>
      </c>
      <c r="C303" t="s">
        <v>722</v>
      </c>
      <c r="D303">
        <v>36</v>
      </c>
      <c r="E303">
        <v>33117</v>
      </c>
      <c r="F303" t="s">
        <v>240</v>
      </c>
      <c r="G303" t="s">
        <v>453</v>
      </c>
      <c r="H303">
        <v>11600</v>
      </c>
      <c r="I303">
        <v>78500</v>
      </c>
      <c r="J303" t="s">
        <v>48</v>
      </c>
      <c r="K303">
        <v>1</v>
      </c>
      <c r="M303" t="s">
        <v>48</v>
      </c>
      <c r="N303">
        <v>42000</v>
      </c>
    </row>
    <row r="304" spans="1:14">
      <c r="A304" t="s">
        <v>77</v>
      </c>
      <c r="B304" t="s">
        <v>723</v>
      </c>
      <c r="C304">
        <v>16600</v>
      </c>
      <c r="D304">
        <v>35</v>
      </c>
      <c r="E304">
        <v>33417</v>
      </c>
      <c r="F304" t="s">
        <v>168</v>
      </c>
      <c r="G304" t="s">
        <v>213</v>
      </c>
      <c r="H304" s="13">
        <v>12400</v>
      </c>
      <c r="I304">
        <v>0</v>
      </c>
      <c r="J304" t="s">
        <v>48</v>
      </c>
      <c r="K304">
        <v>3</v>
      </c>
      <c r="M304" t="s">
        <v>48</v>
      </c>
      <c r="N304">
        <v>83500</v>
      </c>
    </row>
    <row r="305" spans="1:14">
      <c r="A305" t="s">
        <v>72</v>
      </c>
      <c r="B305" t="s">
        <v>724</v>
      </c>
      <c r="C305" t="s">
        <v>725</v>
      </c>
      <c r="D305">
        <v>64</v>
      </c>
      <c r="E305" s="12">
        <v>22845</v>
      </c>
      <c r="F305" t="s">
        <v>157</v>
      </c>
      <c r="G305" t="s">
        <v>172</v>
      </c>
      <c r="H305">
        <v>12700</v>
      </c>
      <c r="I305">
        <v>0</v>
      </c>
      <c r="J305" t="s">
        <v>48</v>
      </c>
      <c r="K305">
        <v>21</v>
      </c>
      <c r="M305" t="s">
        <v>48</v>
      </c>
      <c r="N305">
        <v>50500</v>
      </c>
    </row>
    <row r="306" spans="1:14">
      <c r="A306" t="s">
        <v>72</v>
      </c>
      <c r="B306" t="s">
        <v>726</v>
      </c>
      <c r="C306" t="s">
        <v>727</v>
      </c>
      <c r="D306">
        <v>49</v>
      </c>
      <c r="E306">
        <v>28147</v>
      </c>
      <c r="F306" t="s">
        <v>220</v>
      </c>
      <c r="G306" t="s">
        <v>411</v>
      </c>
      <c r="H306">
        <v>28400</v>
      </c>
      <c r="I306" s="14">
        <v>38500</v>
      </c>
      <c r="J306" t="s">
        <v>186</v>
      </c>
      <c r="K306" t="s">
        <v>656</v>
      </c>
      <c r="M306" t="s">
        <v>186</v>
      </c>
      <c r="N306">
        <v>51000</v>
      </c>
    </row>
    <row r="307" spans="1:14">
      <c r="A307" t="s">
        <v>72</v>
      </c>
      <c r="B307" t="s">
        <v>728</v>
      </c>
      <c r="C307" t="s">
        <v>729</v>
      </c>
      <c r="D307">
        <v>50</v>
      </c>
      <c r="E307" s="12">
        <v>27886</v>
      </c>
      <c r="F307" t="s">
        <v>179</v>
      </c>
      <c r="G307" t="s">
        <v>179</v>
      </c>
      <c r="H307">
        <v>16100</v>
      </c>
      <c r="I307" s="14">
        <v>8000</v>
      </c>
      <c r="J307" t="s">
        <v>49</v>
      </c>
      <c r="K307">
        <v>30</v>
      </c>
      <c r="M307" t="s">
        <v>49</v>
      </c>
      <c r="N307">
        <v>27000</v>
      </c>
    </row>
    <row r="308" spans="1:14">
      <c r="B308" t="s">
        <v>730</v>
      </c>
      <c r="C308" t="s">
        <v>731</v>
      </c>
      <c r="E308" s="12">
        <v>33188</v>
      </c>
      <c r="F308" t="s">
        <v>122</v>
      </c>
      <c r="G308" t="s">
        <v>117</v>
      </c>
      <c r="H308">
        <v>29900</v>
      </c>
      <c r="I308" s="13">
        <v>64500</v>
      </c>
      <c r="J308" t="s">
        <v>48</v>
      </c>
      <c r="K308">
        <v>34</v>
      </c>
      <c r="M308" t="s">
        <v>48</v>
      </c>
      <c r="N308">
        <v>48500</v>
      </c>
    </row>
    <row r="309" spans="1:14">
      <c r="A309" t="s">
        <v>72</v>
      </c>
      <c r="B309" t="s">
        <v>732</v>
      </c>
      <c r="C309" t="s">
        <v>733</v>
      </c>
      <c r="D309">
        <v>39</v>
      </c>
      <c r="E309" s="12">
        <v>31968</v>
      </c>
      <c r="F309" t="s">
        <v>700</v>
      </c>
      <c r="H309">
        <v>8000</v>
      </c>
      <c r="I309" s="14">
        <v>69000</v>
      </c>
      <c r="J309" t="s">
        <v>48</v>
      </c>
      <c r="K309">
        <v>15</v>
      </c>
      <c r="M309" t="s">
        <v>48</v>
      </c>
      <c r="N309">
        <v>39500</v>
      </c>
    </row>
    <row r="310" spans="1:14">
      <c r="A310" t="s">
        <v>100</v>
      </c>
      <c r="B310" t="s">
        <v>734</v>
      </c>
      <c r="C310" t="s">
        <v>735</v>
      </c>
      <c r="D310">
        <v>19</v>
      </c>
      <c r="E310" s="12">
        <v>39003</v>
      </c>
      <c r="F310" t="s">
        <v>149</v>
      </c>
      <c r="G310" t="s">
        <v>137</v>
      </c>
      <c r="H310" t="s">
        <v>736</v>
      </c>
      <c r="I310" s="14">
        <v>29500</v>
      </c>
      <c r="J310" t="s">
        <v>49</v>
      </c>
      <c r="K310">
        <v>13</v>
      </c>
      <c r="M310" t="s">
        <v>49</v>
      </c>
      <c r="N310">
        <v>5000</v>
      </c>
    </row>
    <row r="311" spans="1:14">
      <c r="A311" t="s">
        <v>77</v>
      </c>
      <c r="B311" t="s">
        <v>446</v>
      </c>
      <c r="C311" t="s">
        <v>447</v>
      </c>
      <c r="D311">
        <v>63</v>
      </c>
      <c r="E311" s="12">
        <v>22924</v>
      </c>
      <c r="F311" t="s">
        <v>122</v>
      </c>
      <c r="G311" t="s">
        <v>254</v>
      </c>
      <c r="H311">
        <v>29000</v>
      </c>
      <c r="I311" s="13">
        <v>36500</v>
      </c>
      <c r="J311" t="s">
        <v>48</v>
      </c>
      <c r="K311">
        <v>38</v>
      </c>
      <c r="M311" t="s">
        <v>48</v>
      </c>
      <c r="N311">
        <v>68000</v>
      </c>
    </row>
    <row r="312" spans="1:14">
      <c r="A312" t="s">
        <v>72</v>
      </c>
      <c r="B312" t="s">
        <v>737</v>
      </c>
      <c r="C312">
        <v>17900</v>
      </c>
      <c r="D312">
        <v>44</v>
      </c>
      <c r="E312" s="12">
        <v>29991</v>
      </c>
      <c r="F312" t="s">
        <v>220</v>
      </c>
      <c r="H312">
        <v>6700</v>
      </c>
      <c r="I312">
        <v>16500</v>
      </c>
      <c r="J312" t="s">
        <v>49</v>
      </c>
      <c r="K312">
        <v>38</v>
      </c>
      <c r="M312" t="s">
        <v>49</v>
      </c>
      <c r="N312">
        <v>15500</v>
      </c>
    </row>
    <row r="313" spans="1:14">
      <c r="A313" t="s">
        <v>100</v>
      </c>
      <c r="B313" t="s">
        <v>681</v>
      </c>
      <c r="C313" t="s">
        <v>738</v>
      </c>
      <c r="D313">
        <v>26</v>
      </c>
      <c r="E313">
        <v>36671</v>
      </c>
      <c r="F313" t="s">
        <v>79</v>
      </c>
      <c r="G313" t="s">
        <v>183</v>
      </c>
      <c r="H313">
        <v>25000</v>
      </c>
      <c r="I313">
        <v>1000</v>
      </c>
      <c r="J313" t="s">
        <v>48</v>
      </c>
      <c r="K313">
        <v>16</v>
      </c>
      <c r="M313" t="s">
        <v>48</v>
      </c>
      <c r="N313">
        <v>10500</v>
      </c>
    </row>
    <row r="314" spans="1:14">
      <c r="A314" t="s">
        <v>72</v>
      </c>
      <c r="B314" t="s">
        <v>739</v>
      </c>
      <c r="C314">
        <v>25200</v>
      </c>
      <c r="D314">
        <v>44</v>
      </c>
      <c r="E314" s="12">
        <v>30081</v>
      </c>
      <c r="F314" t="s">
        <v>122</v>
      </c>
      <c r="G314" t="s">
        <v>117</v>
      </c>
      <c r="H314">
        <v>9600</v>
      </c>
      <c r="I314" s="14">
        <v>66000</v>
      </c>
      <c r="K314">
        <v>11</v>
      </c>
      <c r="N314">
        <v>4500</v>
      </c>
    </row>
    <row r="315" spans="1:14">
      <c r="A315" t="s">
        <v>72</v>
      </c>
      <c r="B315" t="s">
        <v>740</v>
      </c>
      <c r="C315">
        <v>29900</v>
      </c>
      <c r="D315" t="s">
        <v>260</v>
      </c>
      <c r="F315" t="s">
        <v>136</v>
      </c>
      <c r="G315" t="s">
        <v>137</v>
      </c>
      <c r="H315">
        <v>21300</v>
      </c>
      <c r="I315">
        <v>60500</v>
      </c>
      <c r="K315">
        <v>15</v>
      </c>
      <c r="N315">
        <v>74500</v>
      </c>
    </row>
    <row r="316" spans="1:14">
      <c r="A316" t="s">
        <v>72</v>
      </c>
      <c r="B316" t="s">
        <v>741</v>
      </c>
      <c r="C316" t="s">
        <v>742</v>
      </c>
      <c r="D316">
        <v>69</v>
      </c>
      <c r="E316">
        <v>21054</v>
      </c>
      <c r="F316" t="s">
        <v>168</v>
      </c>
      <c r="G316" t="s">
        <v>144</v>
      </c>
      <c r="H316" s="14">
        <v>23800</v>
      </c>
      <c r="I316" t="s">
        <v>87</v>
      </c>
      <c r="K316">
        <v>26</v>
      </c>
      <c r="N316">
        <v>89000</v>
      </c>
    </row>
    <row r="317" spans="1:14">
      <c r="A317" t="s">
        <v>72</v>
      </c>
      <c r="B317" t="s">
        <v>743</v>
      </c>
      <c r="C317" t="s">
        <v>744</v>
      </c>
      <c r="D317">
        <v>67</v>
      </c>
      <c r="E317">
        <v>21522</v>
      </c>
      <c r="F317" t="s">
        <v>300</v>
      </c>
      <c r="G317" t="s">
        <v>301</v>
      </c>
      <c r="H317">
        <v>11300</v>
      </c>
      <c r="I317">
        <v>49500</v>
      </c>
      <c r="J317" t="s">
        <v>48</v>
      </c>
      <c r="K317">
        <v>12</v>
      </c>
      <c r="M317" t="s">
        <v>48</v>
      </c>
      <c r="N317">
        <v>34500</v>
      </c>
    </row>
    <row r="318" spans="1:14">
      <c r="A318" t="s">
        <v>72</v>
      </c>
      <c r="B318" t="s">
        <v>745</v>
      </c>
      <c r="C318" t="s">
        <v>746</v>
      </c>
      <c r="D318" t="s">
        <v>747</v>
      </c>
      <c r="E318" s="12">
        <v>27378</v>
      </c>
      <c r="F318" t="s">
        <v>179</v>
      </c>
      <c r="G318" t="s">
        <v>179</v>
      </c>
      <c r="H318" s="13">
        <v>11600</v>
      </c>
      <c r="I318">
        <v>41000</v>
      </c>
      <c r="J318" t="s">
        <v>48</v>
      </c>
      <c r="K318" t="s">
        <v>748</v>
      </c>
      <c r="M318" t="s">
        <v>48</v>
      </c>
      <c r="N318">
        <v>67000</v>
      </c>
    </row>
    <row r="319" spans="1:14">
      <c r="A319" t="s">
        <v>72</v>
      </c>
      <c r="B319" t="s">
        <v>749</v>
      </c>
      <c r="C319" t="s">
        <v>750</v>
      </c>
      <c r="D319">
        <v>49</v>
      </c>
      <c r="E319" s="12">
        <v>28067</v>
      </c>
      <c r="F319" t="s">
        <v>107</v>
      </c>
      <c r="G319" t="s">
        <v>127</v>
      </c>
      <c r="H319">
        <v>29800</v>
      </c>
      <c r="I319" s="14">
        <v>54500</v>
      </c>
      <c r="J319" t="s">
        <v>48</v>
      </c>
      <c r="K319">
        <v>34</v>
      </c>
      <c r="M319" t="s">
        <v>48</v>
      </c>
      <c r="N319">
        <v>72000</v>
      </c>
    </row>
    <row r="320" spans="1:14">
      <c r="A320" t="s">
        <v>72</v>
      </c>
      <c r="B320" t="s">
        <v>423</v>
      </c>
      <c r="C320" t="s">
        <v>751</v>
      </c>
      <c r="D320">
        <v>20</v>
      </c>
      <c r="E320" s="12">
        <v>38957</v>
      </c>
      <c r="F320" t="s">
        <v>157</v>
      </c>
      <c r="G320" t="s">
        <v>137</v>
      </c>
      <c r="H320">
        <v>18200</v>
      </c>
      <c r="J320" t="s">
        <v>48</v>
      </c>
      <c r="K320">
        <v>21</v>
      </c>
      <c r="M320" t="s">
        <v>48</v>
      </c>
      <c r="N320">
        <v>61500</v>
      </c>
    </row>
    <row r="321" spans="1:14">
      <c r="A321" t="s">
        <v>72</v>
      </c>
      <c r="B321" t="s">
        <v>615</v>
      </c>
      <c r="C321">
        <v>19300</v>
      </c>
      <c r="D321">
        <v>74</v>
      </c>
      <c r="E321" s="12">
        <v>19131</v>
      </c>
      <c r="F321" t="s">
        <v>220</v>
      </c>
      <c r="G321" t="s">
        <v>329</v>
      </c>
      <c r="H321">
        <v>20700</v>
      </c>
      <c r="I321" s="13">
        <v>17500</v>
      </c>
      <c r="J321" t="s">
        <v>48</v>
      </c>
      <c r="K321">
        <v>35</v>
      </c>
      <c r="M321" t="s">
        <v>48</v>
      </c>
      <c r="N321">
        <v>68500</v>
      </c>
    </row>
    <row r="322" spans="1:14">
      <c r="A322" t="s">
        <v>77</v>
      </c>
      <c r="B322" t="s">
        <v>596</v>
      </c>
      <c r="C322">
        <v>6400</v>
      </c>
      <c r="D322">
        <v>57</v>
      </c>
      <c r="E322">
        <v>25206</v>
      </c>
      <c r="F322" t="s">
        <v>133</v>
      </c>
      <c r="G322" t="s">
        <v>351</v>
      </c>
      <c r="H322">
        <v>3400</v>
      </c>
      <c r="I322">
        <v>23500</v>
      </c>
      <c r="J322" t="s">
        <v>48</v>
      </c>
      <c r="K322">
        <v>20</v>
      </c>
      <c r="M322" t="s">
        <v>48</v>
      </c>
      <c r="N322">
        <v>50500</v>
      </c>
    </row>
    <row r="323" spans="1:14">
      <c r="A323" t="s">
        <v>72</v>
      </c>
      <c r="B323" t="s">
        <v>401</v>
      </c>
      <c r="C323" t="s">
        <v>402</v>
      </c>
      <c r="D323">
        <v>56</v>
      </c>
      <c r="E323">
        <v>25671</v>
      </c>
      <c r="F323" t="s">
        <v>164</v>
      </c>
      <c r="G323" t="s">
        <v>134</v>
      </c>
      <c r="H323">
        <v>28300</v>
      </c>
      <c r="I323">
        <v>56000</v>
      </c>
      <c r="J323" t="s">
        <v>48</v>
      </c>
      <c r="K323">
        <v>6</v>
      </c>
      <c r="M323" t="s">
        <v>48</v>
      </c>
      <c r="N323">
        <v>84500</v>
      </c>
    </row>
    <row r="324" spans="1:14">
      <c r="A324" t="s">
        <v>72</v>
      </c>
      <c r="B324" t="s">
        <v>752</v>
      </c>
      <c r="C324" t="s">
        <v>753</v>
      </c>
      <c r="D324">
        <v>68</v>
      </c>
      <c r="E324" s="12">
        <v>21145</v>
      </c>
      <c r="F324" t="s">
        <v>79</v>
      </c>
      <c r="G324" t="s">
        <v>80</v>
      </c>
      <c r="H324">
        <v>24500</v>
      </c>
      <c r="I324">
        <v>16500</v>
      </c>
      <c r="J324" t="s">
        <v>48</v>
      </c>
      <c r="K324">
        <v>22</v>
      </c>
      <c r="M324" t="s">
        <v>48</v>
      </c>
      <c r="N324">
        <v>34500</v>
      </c>
    </row>
    <row r="325" spans="1:14">
      <c r="A325" t="s">
        <v>77</v>
      </c>
      <c r="B325" t="s">
        <v>754</v>
      </c>
      <c r="C325" t="s">
        <v>755</v>
      </c>
      <c r="D325">
        <v>73</v>
      </c>
      <c r="F325" t="s">
        <v>136</v>
      </c>
      <c r="G325" t="s">
        <v>137</v>
      </c>
      <c r="H325" t="s">
        <v>756</v>
      </c>
      <c r="I325">
        <v>47000</v>
      </c>
      <c r="J325" t="s">
        <v>48</v>
      </c>
      <c r="K325">
        <v>19</v>
      </c>
      <c r="M325" t="s">
        <v>48</v>
      </c>
      <c r="N325">
        <v>20500</v>
      </c>
    </row>
    <row r="326" spans="1:14">
      <c r="A326" t="s">
        <v>72</v>
      </c>
      <c r="B326" t="s">
        <v>757</v>
      </c>
      <c r="C326" t="s">
        <v>758</v>
      </c>
      <c r="D326">
        <v>67</v>
      </c>
      <c r="E326" s="12">
        <v>21497</v>
      </c>
      <c r="F326" t="s">
        <v>91</v>
      </c>
      <c r="H326" t="s">
        <v>759</v>
      </c>
      <c r="I326" s="13">
        <v>73500</v>
      </c>
      <c r="J326" t="s">
        <v>49</v>
      </c>
      <c r="K326">
        <v>7</v>
      </c>
      <c r="M326" t="s">
        <v>49</v>
      </c>
      <c r="N326">
        <v>24500</v>
      </c>
    </row>
    <row r="327" spans="1:14">
      <c r="A327" t="s">
        <v>72</v>
      </c>
      <c r="B327" t="s">
        <v>760</v>
      </c>
      <c r="C327" t="s">
        <v>761</v>
      </c>
      <c r="D327">
        <v>54</v>
      </c>
      <c r="E327" s="12">
        <v>26230</v>
      </c>
      <c r="F327" t="s">
        <v>157</v>
      </c>
      <c r="G327" t="s">
        <v>150</v>
      </c>
      <c r="H327">
        <v>18700</v>
      </c>
      <c r="I327">
        <v>46000</v>
      </c>
      <c r="J327" t="s">
        <v>49</v>
      </c>
      <c r="K327">
        <v>4</v>
      </c>
      <c r="M327" t="s">
        <v>49</v>
      </c>
      <c r="N327">
        <v>27500</v>
      </c>
    </row>
    <row r="328" spans="1:14">
      <c r="A328" t="s">
        <v>72</v>
      </c>
      <c r="B328" t="s">
        <v>438</v>
      </c>
      <c r="C328">
        <v>36900</v>
      </c>
      <c r="D328">
        <v>61</v>
      </c>
      <c r="E328">
        <v>23928</v>
      </c>
      <c r="F328" t="s">
        <v>300</v>
      </c>
      <c r="G328" t="s">
        <v>80</v>
      </c>
      <c r="H328">
        <v>22900</v>
      </c>
      <c r="I328">
        <v>7500</v>
      </c>
      <c r="J328" t="s">
        <v>48</v>
      </c>
      <c r="K328">
        <v>12</v>
      </c>
      <c r="M328" t="s">
        <v>48</v>
      </c>
      <c r="N328">
        <v>33000</v>
      </c>
    </row>
    <row r="329" spans="1:14">
      <c r="A329" t="s">
        <v>72</v>
      </c>
      <c r="B329" t="s">
        <v>757</v>
      </c>
      <c r="C329" t="s">
        <v>762</v>
      </c>
      <c r="D329">
        <v>60</v>
      </c>
      <c r="E329" s="12">
        <v>24054</v>
      </c>
      <c r="F329" t="s">
        <v>75</v>
      </c>
      <c r="G329" t="s">
        <v>95</v>
      </c>
      <c r="H329">
        <v>22600</v>
      </c>
      <c r="I329" t="s">
        <v>763</v>
      </c>
      <c r="J329" t="s">
        <v>48</v>
      </c>
      <c r="K329">
        <v>9</v>
      </c>
      <c r="M329" t="s">
        <v>48</v>
      </c>
      <c r="N329">
        <v>58500</v>
      </c>
    </row>
    <row r="330" spans="1:14">
      <c r="A330" t="s">
        <v>72</v>
      </c>
      <c r="B330" t="s">
        <v>334</v>
      </c>
      <c r="C330">
        <v>36000</v>
      </c>
      <c r="D330">
        <v>26</v>
      </c>
      <c r="E330" s="12">
        <v>36573</v>
      </c>
      <c r="F330" t="s">
        <v>697</v>
      </c>
      <c r="H330">
        <v>4800</v>
      </c>
      <c r="I330" t="s">
        <v>764</v>
      </c>
      <c r="J330" t="s">
        <v>49</v>
      </c>
      <c r="K330">
        <v>6</v>
      </c>
      <c r="M330" t="s">
        <v>49</v>
      </c>
      <c r="N330">
        <v>56500</v>
      </c>
    </row>
    <row r="331" spans="1:14">
      <c r="A331" t="s">
        <v>77</v>
      </c>
      <c r="B331" t="s">
        <v>765</v>
      </c>
      <c r="C331">
        <v>32500</v>
      </c>
      <c r="D331">
        <v>48</v>
      </c>
      <c r="E331">
        <v>28446</v>
      </c>
      <c r="F331" t="s">
        <v>84</v>
      </c>
      <c r="G331" t="s">
        <v>329</v>
      </c>
      <c r="H331">
        <v>6900</v>
      </c>
      <c r="I331">
        <v>52500</v>
      </c>
      <c r="J331" t="s">
        <v>49</v>
      </c>
      <c r="K331">
        <v>0</v>
      </c>
      <c r="M331" t="s">
        <v>49</v>
      </c>
      <c r="N331">
        <v>66000</v>
      </c>
    </row>
    <row r="332" spans="1:14">
      <c r="A332" t="s">
        <v>72</v>
      </c>
      <c r="B332" t="s">
        <v>766</v>
      </c>
      <c r="C332" t="s">
        <v>767</v>
      </c>
      <c r="D332">
        <v>69</v>
      </c>
      <c r="F332" t="s">
        <v>300</v>
      </c>
      <c r="G332" t="s">
        <v>183</v>
      </c>
      <c r="H332">
        <v>11400</v>
      </c>
      <c r="I332">
        <v>0</v>
      </c>
      <c r="J332" t="s">
        <v>177</v>
      </c>
      <c r="K332">
        <v>13</v>
      </c>
      <c r="M332" t="s">
        <v>177</v>
      </c>
      <c r="N332">
        <v>79000</v>
      </c>
    </row>
    <row r="333" spans="1:14">
      <c r="A333" t="s">
        <v>72</v>
      </c>
      <c r="B333" t="s">
        <v>142</v>
      </c>
      <c r="C333">
        <v>22300</v>
      </c>
      <c r="D333">
        <v>25</v>
      </c>
      <c r="E333" s="12">
        <v>36831</v>
      </c>
      <c r="F333" t="s">
        <v>143</v>
      </c>
      <c r="G333" t="s">
        <v>144</v>
      </c>
      <c r="H333" s="14">
        <v>9400</v>
      </c>
      <c r="I333">
        <v>51500</v>
      </c>
      <c r="J333" t="s">
        <v>48</v>
      </c>
      <c r="K333">
        <v>14</v>
      </c>
      <c r="M333" t="s">
        <v>48</v>
      </c>
      <c r="N333">
        <v>74000</v>
      </c>
    </row>
    <row r="334" spans="1:14">
      <c r="A334" t="s">
        <v>72</v>
      </c>
      <c r="B334" t="s">
        <v>768</v>
      </c>
      <c r="C334" t="s">
        <v>769</v>
      </c>
      <c r="D334">
        <v>62</v>
      </c>
      <c r="E334">
        <v>23317</v>
      </c>
      <c r="F334" t="s">
        <v>165</v>
      </c>
      <c r="G334" t="s">
        <v>137</v>
      </c>
      <c r="H334">
        <v>10500</v>
      </c>
      <c r="I334">
        <v>0</v>
      </c>
      <c r="J334" t="s">
        <v>49</v>
      </c>
      <c r="K334" t="s">
        <v>645</v>
      </c>
      <c r="M334" t="s">
        <v>49</v>
      </c>
      <c r="N334">
        <v>54500</v>
      </c>
    </row>
    <row r="335" spans="1:14">
      <c r="A335" t="s">
        <v>72</v>
      </c>
      <c r="B335" t="s">
        <v>770</v>
      </c>
      <c r="C335">
        <v>25700</v>
      </c>
      <c r="D335">
        <v>27</v>
      </c>
      <c r="E335">
        <v>36152</v>
      </c>
      <c r="F335" t="s">
        <v>168</v>
      </c>
      <c r="G335" t="s">
        <v>208</v>
      </c>
      <c r="H335">
        <v>30000</v>
      </c>
      <c r="I335" s="14">
        <v>27000</v>
      </c>
      <c r="J335" t="s">
        <v>88</v>
      </c>
      <c r="K335">
        <v>28</v>
      </c>
      <c r="M335" t="s">
        <v>88</v>
      </c>
      <c r="N335">
        <v>28500</v>
      </c>
    </row>
    <row r="336" spans="1:14">
      <c r="A336" t="s">
        <v>72</v>
      </c>
      <c r="B336" t="s">
        <v>771</v>
      </c>
      <c r="C336" t="s">
        <v>772</v>
      </c>
      <c r="E336" s="12">
        <v>34769</v>
      </c>
      <c r="F336" t="s">
        <v>98</v>
      </c>
      <c r="G336" t="s">
        <v>189</v>
      </c>
      <c r="H336">
        <v>9000</v>
      </c>
      <c r="I336">
        <v>66000</v>
      </c>
      <c r="J336" t="s">
        <v>48</v>
      </c>
      <c r="K336">
        <v>24</v>
      </c>
      <c r="M336" t="s">
        <v>48</v>
      </c>
      <c r="N336">
        <v>72000</v>
      </c>
    </row>
    <row r="337" spans="1:14">
      <c r="A337" t="s">
        <v>77</v>
      </c>
      <c r="B337" t="s">
        <v>265</v>
      </c>
      <c r="C337" t="s">
        <v>773</v>
      </c>
      <c r="D337">
        <v>65</v>
      </c>
      <c r="E337">
        <v>22275</v>
      </c>
      <c r="F337" t="s">
        <v>75</v>
      </c>
      <c r="G337" t="s">
        <v>76</v>
      </c>
      <c r="H337">
        <v>3300</v>
      </c>
      <c r="I337">
        <v>43500</v>
      </c>
      <c r="J337" t="s">
        <v>48</v>
      </c>
      <c r="K337" t="s">
        <v>200</v>
      </c>
      <c r="M337" t="s">
        <v>48</v>
      </c>
      <c r="N337">
        <v>23500</v>
      </c>
    </row>
    <row r="338" spans="1:14">
      <c r="A338" t="s">
        <v>72</v>
      </c>
      <c r="B338" t="s">
        <v>774</v>
      </c>
      <c r="C338" t="s">
        <v>775</v>
      </c>
      <c r="D338">
        <v>29</v>
      </c>
      <c r="E338" s="12">
        <v>35392</v>
      </c>
      <c r="F338" t="s">
        <v>240</v>
      </c>
      <c r="H338" t="s">
        <v>776</v>
      </c>
      <c r="I338">
        <v>19500</v>
      </c>
      <c r="J338" t="s">
        <v>48</v>
      </c>
      <c r="K338">
        <v>30</v>
      </c>
      <c r="M338" t="s">
        <v>48</v>
      </c>
      <c r="N338">
        <v>51000</v>
      </c>
    </row>
    <row r="339" spans="1:14">
      <c r="A339" t="s">
        <v>72</v>
      </c>
      <c r="B339" t="s">
        <v>777</v>
      </c>
      <c r="C339" t="s">
        <v>778</v>
      </c>
      <c r="D339">
        <v>55</v>
      </c>
      <c r="E339">
        <v>25844</v>
      </c>
      <c r="F339" t="s">
        <v>168</v>
      </c>
      <c r="G339" t="s">
        <v>208</v>
      </c>
      <c r="H339" s="14">
        <v>17400</v>
      </c>
      <c r="I339" s="13">
        <v>75500</v>
      </c>
      <c r="J339" t="s">
        <v>48</v>
      </c>
      <c r="K339">
        <v>9</v>
      </c>
      <c r="M339" t="s">
        <v>48</v>
      </c>
      <c r="N339">
        <v>52000</v>
      </c>
    </row>
    <row r="340" spans="1:14">
      <c r="A340" t="s">
        <v>77</v>
      </c>
      <c r="B340" t="s">
        <v>601</v>
      </c>
      <c r="C340">
        <v>34000</v>
      </c>
      <c r="D340">
        <v>38</v>
      </c>
      <c r="E340" s="12">
        <v>32118</v>
      </c>
      <c r="F340" t="s">
        <v>79</v>
      </c>
      <c r="G340" t="s">
        <v>130</v>
      </c>
      <c r="H340" s="14">
        <v>15800</v>
      </c>
      <c r="I340">
        <v>14500</v>
      </c>
      <c r="J340" t="s">
        <v>48</v>
      </c>
      <c r="K340">
        <v>4</v>
      </c>
      <c r="M340" t="s">
        <v>48</v>
      </c>
      <c r="N340">
        <v>21000</v>
      </c>
    </row>
    <row r="341" spans="1:14">
      <c r="A341" t="s">
        <v>72</v>
      </c>
      <c r="B341" t="s">
        <v>779</v>
      </c>
      <c r="C341">
        <v>2200</v>
      </c>
      <c r="D341">
        <v>58</v>
      </c>
      <c r="E341">
        <v>24840</v>
      </c>
      <c r="F341" t="s">
        <v>240</v>
      </c>
      <c r="G341" t="s">
        <v>241</v>
      </c>
      <c r="H341" s="13">
        <v>2800</v>
      </c>
      <c r="I341" s="13">
        <v>35000</v>
      </c>
      <c r="J341" t="s">
        <v>48</v>
      </c>
      <c r="K341">
        <v>36</v>
      </c>
      <c r="M341" t="s">
        <v>48</v>
      </c>
      <c r="N341">
        <v>9000</v>
      </c>
    </row>
    <row r="342" spans="1:14">
      <c r="A342" t="s">
        <v>72</v>
      </c>
      <c r="B342" t="s">
        <v>780</v>
      </c>
      <c r="C342" t="s">
        <v>781</v>
      </c>
      <c r="E342" s="12">
        <v>35600</v>
      </c>
      <c r="F342" t="s">
        <v>164</v>
      </c>
      <c r="G342" t="s">
        <v>134</v>
      </c>
      <c r="H342">
        <v>9600</v>
      </c>
      <c r="I342" s="13">
        <v>41000</v>
      </c>
      <c r="J342" t="s">
        <v>48</v>
      </c>
      <c r="K342">
        <v>27</v>
      </c>
      <c r="M342" t="s">
        <v>48</v>
      </c>
      <c r="N342">
        <v>25000</v>
      </c>
    </row>
    <row r="343" spans="1:14">
      <c r="A343" t="s">
        <v>77</v>
      </c>
      <c r="B343" t="s">
        <v>782</v>
      </c>
      <c r="C343">
        <v>11600</v>
      </c>
      <c r="E343">
        <v>32890</v>
      </c>
      <c r="F343" t="s">
        <v>133</v>
      </c>
      <c r="G343" t="s">
        <v>351</v>
      </c>
      <c r="H343" s="14">
        <v>28100</v>
      </c>
      <c r="I343" s="14">
        <v>36500</v>
      </c>
      <c r="J343" t="s">
        <v>48</v>
      </c>
      <c r="K343">
        <v>13</v>
      </c>
      <c r="M343" t="s">
        <v>48</v>
      </c>
      <c r="N343">
        <v>5000</v>
      </c>
    </row>
    <row r="344" spans="1:14">
      <c r="A344" t="s">
        <v>77</v>
      </c>
      <c r="B344" t="s">
        <v>692</v>
      </c>
      <c r="C344">
        <v>20300</v>
      </c>
      <c r="D344">
        <v>46</v>
      </c>
      <c r="E344" s="12">
        <v>29427</v>
      </c>
      <c r="F344" t="s">
        <v>164</v>
      </c>
      <c r="G344" t="s">
        <v>141</v>
      </c>
      <c r="I344">
        <v>37500</v>
      </c>
      <c r="J344" t="s">
        <v>48</v>
      </c>
      <c r="M344" t="s">
        <v>48</v>
      </c>
      <c r="N344">
        <v>77000</v>
      </c>
    </row>
    <row r="345" spans="1:14">
      <c r="A345" t="s">
        <v>77</v>
      </c>
      <c r="B345" t="s">
        <v>352</v>
      </c>
      <c r="C345" t="s">
        <v>353</v>
      </c>
      <c r="D345">
        <v>30</v>
      </c>
      <c r="E345" s="12">
        <v>35200</v>
      </c>
      <c r="F345" t="s">
        <v>122</v>
      </c>
      <c r="G345" t="s">
        <v>254</v>
      </c>
      <c r="H345">
        <v>26500</v>
      </c>
      <c r="I345">
        <v>14500</v>
      </c>
      <c r="J345">
        <v>0</v>
      </c>
      <c r="K345">
        <v>15</v>
      </c>
      <c r="M345">
        <v>0</v>
      </c>
      <c r="N345">
        <v>39000</v>
      </c>
    </row>
    <row r="346" spans="1:14">
      <c r="A346" t="s">
        <v>72</v>
      </c>
      <c r="B346" t="s">
        <v>783</v>
      </c>
      <c r="C346" t="s">
        <v>784</v>
      </c>
      <c r="D346">
        <v>60</v>
      </c>
      <c r="E346">
        <v>24202</v>
      </c>
      <c r="F346" t="s">
        <v>300</v>
      </c>
      <c r="G346" t="s">
        <v>80</v>
      </c>
      <c r="H346" s="13">
        <v>5500</v>
      </c>
      <c r="I346">
        <v>0</v>
      </c>
      <c r="J346" t="s">
        <v>186</v>
      </c>
      <c r="K346">
        <v>26</v>
      </c>
      <c r="M346" t="s">
        <v>186</v>
      </c>
      <c r="N346">
        <v>52500</v>
      </c>
    </row>
    <row r="347" spans="1:14">
      <c r="A347" t="s">
        <v>72</v>
      </c>
      <c r="B347" t="s">
        <v>785</v>
      </c>
      <c r="C347" t="s">
        <v>786</v>
      </c>
      <c r="D347">
        <v>43</v>
      </c>
      <c r="E347">
        <v>30437</v>
      </c>
      <c r="F347" t="s">
        <v>220</v>
      </c>
      <c r="G347" t="s">
        <v>85</v>
      </c>
      <c r="H347">
        <v>14600</v>
      </c>
      <c r="I347">
        <v>18500</v>
      </c>
      <c r="J347" t="s">
        <v>177</v>
      </c>
      <c r="K347">
        <v>22</v>
      </c>
      <c r="M347" t="s">
        <v>177</v>
      </c>
      <c r="N347">
        <v>16500</v>
      </c>
    </row>
    <row r="348" spans="1:14">
      <c r="A348" t="s">
        <v>169</v>
      </c>
      <c r="B348" t="s">
        <v>718</v>
      </c>
      <c r="C348">
        <v>33100</v>
      </c>
      <c r="E348">
        <v>36759</v>
      </c>
      <c r="F348" t="s">
        <v>179</v>
      </c>
      <c r="G348" t="s">
        <v>179</v>
      </c>
      <c r="H348">
        <v>23200</v>
      </c>
      <c r="I348">
        <v>54500</v>
      </c>
      <c r="J348">
        <v>1</v>
      </c>
      <c r="K348">
        <v>26</v>
      </c>
      <c r="M348">
        <v>1</v>
      </c>
      <c r="N348">
        <v>39500</v>
      </c>
    </row>
    <row r="349" spans="1:14">
      <c r="A349" t="s">
        <v>72</v>
      </c>
      <c r="B349" t="s">
        <v>395</v>
      </c>
      <c r="C349" t="s">
        <v>396</v>
      </c>
      <c r="D349">
        <v>53</v>
      </c>
      <c r="E349" s="12">
        <v>26584</v>
      </c>
      <c r="F349" t="s">
        <v>157</v>
      </c>
      <c r="G349" t="s">
        <v>137</v>
      </c>
      <c r="H349">
        <v>12200</v>
      </c>
      <c r="I349" s="13">
        <v>79500</v>
      </c>
      <c r="J349" t="s">
        <v>186</v>
      </c>
      <c r="K349">
        <v>45</v>
      </c>
      <c r="M349" t="s">
        <v>186</v>
      </c>
      <c r="N349">
        <v>62000</v>
      </c>
    </row>
    <row r="350" spans="1:14">
      <c r="A350" t="s">
        <v>169</v>
      </c>
      <c r="B350" t="s">
        <v>787</v>
      </c>
      <c r="C350" t="s">
        <v>788</v>
      </c>
      <c r="D350">
        <v>19</v>
      </c>
      <c r="E350" s="12">
        <v>39209</v>
      </c>
      <c r="F350" t="s">
        <v>212</v>
      </c>
      <c r="G350" t="s">
        <v>144</v>
      </c>
      <c r="H350" s="13">
        <v>7200</v>
      </c>
      <c r="I350">
        <v>16000</v>
      </c>
      <c r="J350" t="s">
        <v>48</v>
      </c>
      <c r="K350">
        <v>5</v>
      </c>
      <c r="M350" t="s">
        <v>48</v>
      </c>
      <c r="N350">
        <v>52000</v>
      </c>
    </row>
    <row r="351" spans="1:14">
      <c r="A351" t="s">
        <v>77</v>
      </c>
      <c r="B351" t="s">
        <v>789</v>
      </c>
      <c r="C351">
        <v>11700</v>
      </c>
      <c r="D351">
        <v>27</v>
      </c>
      <c r="E351">
        <v>36151</v>
      </c>
      <c r="F351" t="s">
        <v>165</v>
      </c>
      <c r="G351" t="s">
        <v>137</v>
      </c>
      <c r="H351" s="13">
        <v>25900</v>
      </c>
      <c r="I351">
        <v>0</v>
      </c>
      <c r="J351" t="s">
        <v>49</v>
      </c>
      <c r="K351">
        <v>10</v>
      </c>
      <c r="M351" t="s">
        <v>49</v>
      </c>
      <c r="N351">
        <v>5000</v>
      </c>
    </row>
    <row r="352" spans="1:14">
      <c r="A352" t="s">
        <v>72</v>
      </c>
      <c r="B352" t="s">
        <v>790</v>
      </c>
      <c r="C352" t="s">
        <v>791</v>
      </c>
      <c r="D352">
        <v>44</v>
      </c>
      <c r="E352">
        <v>29892</v>
      </c>
      <c r="F352" t="s">
        <v>98</v>
      </c>
      <c r="G352" t="s">
        <v>103</v>
      </c>
      <c r="H352">
        <v>20600</v>
      </c>
      <c r="I352">
        <v>8000</v>
      </c>
      <c r="J352" t="s">
        <v>48</v>
      </c>
      <c r="K352">
        <v>39</v>
      </c>
      <c r="M352" t="s">
        <v>48</v>
      </c>
      <c r="N352">
        <v>36000</v>
      </c>
    </row>
    <row r="353" spans="1:14">
      <c r="A353" t="s">
        <v>72</v>
      </c>
      <c r="B353" t="s">
        <v>792</v>
      </c>
      <c r="C353" t="s">
        <v>793</v>
      </c>
      <c r="D353">
        <v>48</v>
      </c>
      <c r="E353">
        <v>28689</v>
      </c>
      <c r="F353" t="s">
        <v>79</v>
      </c>
      <c r="G353" t="s">
        <v>80</v>
      </c>
      <c r="H353" s="13">
        <v>18700</v>
      </c>
      <c r="I353">
        <v>11000</v>
      </c>
      <c r="J353" t="s">
        <v>48</v>
      </c>
      <c r="K353">
        <v>28</v>
      </c>
      <c r="M353" t="s">
        <v>48</v>
      </c>
      <c r="N353">
        <v>18000</v>
      </c>
    </row>
    <row r="354" spans="1:14">
      <c r="A354" t="s">
        <v>72</v>
      </c>
      <c r="B354" t="s">
        <v>794</v>
      </c>
      <c r="C354">
        <v>8200</v>
      </c>
      <c r="D354">
        <v>20</v>
      </c>
      <c r="E354">
        <v>38894</v>
      </c>
      <c r="F354" t="s">
        <v>149</v>
      </c>
      <c r="G354" t="s">
        <v>172</v>
      </c>
      <c r="H354">
        <v>24900</v>
      </c>
      <c r="I354">
        <v>0</v>
      </c>
      <c r="J354" t="s">
        <v>49</v>
      </c>
      <c r="K354">
        <v>14</v>
      </c>
      <c r="M354" t="s">
        <v>49</v>
      </c>
      <c r="N354">
        <v>49500</v>
      </c>
    </row>
    <row r="355" spans="1:14">
      <c r="A355" t="s">
        <v>77</v>
      </c>
      <c r="B355" t="s">
        <v>795</v>
      </c>
      <c r="C355">
        <v>23000</v>
      </c>
      <c r="D355">
        <v>53</v>
      </c>
      <c r="E355">
        <v>26744</v>
      </c>
      <c r="F355" t="s">
        <v>107</v>
      </c>
      <c r="G355" t="s">
        <v>127</v>
      </c>
      <c r="H355" s="13">
        <v>26400</v>
      </c>
      <c r="I355">
        <v>9500</v>
      </c>
      <c r="J355" t="s">
        <v>88</v>
      </c>
      <c r="K355">
        <v>21</v>
      </c>
      <c r="M355" t="s">
        <v>88</v>
      </c>
      <c r="N355">
        <v>16000</v>
      </c>
    </row>
    <row r="356" spans="1:14">
      <c r="A356" t="s">
        <v>77</v>
      </c>
      <c r="B356" t="s">
        <v>796</v>
      </c>
      <c r="C356" t="s">
        <v>797</v>
      </c>
      <c r="D356">
        <v>31</v>
      </c>
      <c r="E356">
        <v>34824</v>
      </c>
      <c r="F356" t="s">
        <v>300</v>
      </c>
      <c r="G356" t="s">
        <v>80</v>
      </c>
      <c r="H356" s="13">
        <v>29500</v>
      </c>
      <c r="I356">
        <v>5000</v>
      </c>
      <c r="J356" t="s">
        <v>48</v>
      </c>
      <c r="K356">
        <v>22</v>
      </c>
      <c r="M356" t="s">
        <v>48</v>
      </c>
      <c r="N356">
        <v>18000</v>
      </c>
    </row>
    <row r="357" spans="1:14">
      <c r="A357" t="s">
        <v>72</v>
      </c>
      <c r="B357" t="s">
        <v>798</v>
      </c>
      <c r="C357" t="s">
        <v>799</v>
      </c>
      <c r="D357">
        <v>32</v>
      </c>
      <c r="E357">
        <v>34508</v>
      </c>
      <c r="F357" t="s">
        <v>179</v>
      </c>
      <c r="G357" t="s">
        <v>179</v>
      </c>
      <c r="H357">
        <v>9800</v>
      </c>
      <c r="I357">
        <v>0</v>
      </c>
      <c r="J357" t="s">
        <v>48</v>
      </c>
      <c r="K357">
        <v>23</v>
      </c>
      <c r="M357" t="s">
        <v>48</v>
      </c>
      <c r="N357">
        <v>68000</v>
      </c>
    </row>
    <row r="358" spans="1:14">
      <c r="A358" t="s">
        <v>77</v>
      </c>
      <c r="B358" t="s">
        <v>800</v>
      </c>
      <c r="C358" t="s">
        <v>801</v>
      </c>
      <c r="D358">
        <v>51</v>
      </c>
      <c r="E358">
        <v>27590</v>
      </c>
      <c r="F358" t="s">
        <v>212</v>
      </c>
      <c r="G358" t="s">
        <v>144</v>
      </c>
      <c r="H358" t="s">
        <v>802</v>
      </c>
      <c r="I358">
        <v>0</v>
      </c>
      <c r="J358" t="s">
        <v>48</v>
      </c>
      <c r="K358">
        <v>17</v>
      </c>
      <c r="M358" t="s">
        <v>48</v>
      </c>
      <c r="N358">
        <v>55500</v>
      </c>
    </row>
    <row r="359" spans="1:14">
      <c r="B359" t="s">
        <v>803</v>
      </c>
      <c r="C359" t="s">
        <v>804</v>
      </c>
      <c r="D359">
        <v>54</v>
      </c>
      <c r="E359" s="12">
        <v>26403</v>
      </c>
      <c r="F359" t="s">
        <v>212</v>
      </c>
      <c r="G359" t="s">
        <v>144</v>
      </c>
      <c r="H359" t="s">
        <v>805</v>
      </c>
      <c r="I359" t="s">
        <v>412</v>
      </c>
      <c r="J359" t="s">
        <v>186</v>
      </c>
      <c r="K359">
        <v>32</v>
      </c>
      <c r="M359" t="s">
        <v>186</v>
      </c>
      <c r="N359">
        <v>31500</v>
      </c>
    </row>
    <row r="360" spans="1:14">
      <c r="A360" t="s">
        <v>77</v>
      </c>
      <c r="B360" t="s">
        <v>806</v>
      </c>
      <c r="C360" t="s">
        <v>807</v>
      </c>
      <c r="D360">
        <v>66</v>
      </c>
      <c r="E360" s="12">
        <v>22101</v>
      </c>
      <c r="F360" t="s">
        <v>116</v>
      </c>
      <c r="G360" t="s">
        <v>254</v>
      </c>
      <c r="H360">
        <v>16800</v>
      </c>
      <c r="I360">
        <v>79500</v>
      </c>
      <c r="J360" t="s">
        <v>48</v>
      </c>
      <c r="K360">
        <v>36</v>
      </c>
      <c r="M360" t="s">
        <v>48</v>
      </c>
      <c r="N360">
        <v>1500</v>
      </c>
    </row>
    <row r="361" spans="1:14">
      <c r="A361" t="s">
        <v>77</v>
      </c>
      <c r="B361" t="s">
        <v>692</v>
      </c>
      <c r="C361">
        <v>20300</v>
      </c>
      <c r="D361">
        <v>46</v>
      </c>
      <c r="E361" s="12">
        <v>29427</v>
      </c>
      <c r="F361" t="s">
        <v>164</v>
      </c>
      <c r="G361" t="s">
        <v>141</v>
      </c>
      <c r="I361">
        <v>37500</v>
      </c>
      <c r="J361" t="s">
        <v>48</v>
      </c>
      <c r="M361" t="s">
        <v>48</v>
      </c>
      <c r="N361">
        <v>21500</v>
      </c>
    </row>
    <row r="362" spans="1:14">
      <c r="A362" t="s">
        <v>72</v>
      </c>
      <c r="B362" t="s">
        <v>808</v>
      </c>
      <c r="C362" t="s">
        <v>809</v>
      </c>
      <c r="D362">
        <v>22</v>
      </c>
      <c r="E362" s="12">
        <v>38204</v>
      </c>
      <c r="F362" t="s">
        <v>75</v>
      </c>
      <c r="G362" t="s">
        <v>76</v>
      </c>
      <c r="H362">
        <v>10500</v>
      </c>
      <c r="I362" s="14">
        <v>50500</v>
      </c>
      <c r="J362" t="s">
        <v>48</v>
      </c>
      <c r="K362">
        <v>16</v>
      </c>
      <c r="M362" t="s">
        <v>48</v>
      </c>
      <c r="N362">
        <v>41500</v>
      </c>
    </row>
    <row r="363" spans="1:14">
      <c r="A363" t="s">
        <v>72</v>
      </c>
      <c r="B363" t="s">
        <v>810</v>
      </c>
      <c r="C363">
        <v>21400</v>
      </c>
      <c r="D363">
        <v>67</v>
      </c>
      <c r="E363" s="12">
        <v>21689</v>
      </c>
      <c r="F363" t="s">
        <v>116</v>
      </c>
      <c r="G363" t="s">
        <v>117</v>
      </c>
      <c r="H363">
        <v>10700</v>
      </c>
      <c r="I363" s="13">
        <v>9000</v>
      </c>
      <c r="J363" t="s">
        <v>48</v>
      </c>
      <c r="K363">
        <v>37</v>
      </c>
      <c r="M363" t="s">
        <v>48</v>
      </c>
      <c r="N363">
        <v>53000</v>
      </c>
    </row>
    <row r="364" spans="1:14">
      <c r="A364" t="s">
        <v>72</v>
      </c>
      <c r="B364" t="s">
        <v>811</v>
      </c>
      <c r="C364" t="s">
        <v>812</v>
      </c>
      <c r="D364">
        <v>53</v>
      </c>
      <c r="E364" s="12">
        <v>26790</v>
      </c>
      <c r="F364" t="s">
        <v>122</v>
      </c>
      <c r="G364" t="s">
        <v>117</v>
      </c>
      <c r="H364" t="s">
        <v>180</v>
      </c>
      <c r="I364" s="13">
        <v>21500</v>
      </c>
      <c r="J364" t="s">
        <v>49</v>
      </c>
      <c r="K364">
        <v>44</v>
      </c>
      <c r="M364" t="s">
        <v>49</v>
      </c>
      <c r="N364">
        <v>3500</v>
      </c>
    </row>
    <row r="365" spans="1:14">
      <c r="A365" t="s">
        <v>77</v>
      </c>
      <c r="B365" t="s">
        <v>813</v>
      </c>
      <c r="C365">
        <v>3200</v>
      </c>
      <c r="D365">
        <v>31</v>
      </c>
      <c r="E365">
        <v>34746</v>
      </c>
      <c r="F365" t="s">
        <v>122</v>
      </c>
      <c r="G365" t="s">
        <v>254</v>
      </c>
      <c r="H365" s="13">
        <v>18200</v>
      </c>
      <c r="I365">
        <v>78500</v>
      </c>
      <c r="J365" t="s">
        <v>48</v>
      </c>
      <c r="K365">
        <v>9</v>
      </c>
      <c r="M365" t="s">
        <v>48</v>
      </c>
      <c r="N365">
        <v>73000</v>
      </c>
    </row>
    <row r="366" spans="1:14">
      <c r="A366" t="s">
        <v>72</v>
      </c>
      <c r="B366" t="s">
        <v>261</v>
      </c>
      <c r="C366" t="s">
        <v>814</v>
      </c>
      <c r="D366">
        <v>41</v>
      </c>
      <c r="E366">
        <v>31156</v>
      </c>
      <c r="F366" t="s">
        <v>157</v>
      </c>
      <c r="G366" t="s">
        <v>150</v>
      </c>
      <c r="H366" s="13">
        <v>26500</v>
      </c>
      <c r="I366" t="s">
        <v>815</v>
      </c>
      <c r="J366" t="s">
        <v>48</v>
      </c>
      <c r="K366">
        <v>5</v>
      </c>
      <c r="M366" t="s">
        <v>48</v>
      </c>
      <c r="N366">
        <v>75000</v>
      </c>
    </row>
    <row r="367" spans="1:14">
      <c r="A367" t="s">
        <v>77</v>
      </c>
      <c r="B367" t="s">
        <v>816</v>
      </c>
      <c r="C367">
        <v>20600</v>
      </c>
      <c r="D367">
        <v>55</v>
      </c>
      <c r="E367">
        <v>26075</v>
      </c>
      <c r="F367" t="s">
        <v>75</v>
      </c>
      <c r="G367" t="s">
        <v>76</v>
      </c>
      <c r="H367" s="13">
        <v>21100</v>
      </c>
      <c r="I367" s="14">
        <v>67500</v>
      </c>
      <c r="J367" t="s">
        <v>48</v>
      </c>
      <c r="K367">
        <v>15</v>
      </c>
      <c r="M367" t="s">
        <v>48</v>
      </c>
      <c r="N367">
        <v>20000</v>
      </c>
    </row>
    <row r="368" spans="1:14">
      <c r="A368" t="s">
        <v>72</v>
      </c>
      <c r="B368" t="s">
        <v>817</v>
      </c>
      <c r="C368" t="s">
        <v>818</v>
      </c>
      <c r="D368">
        <v>60</v>
      </c>
      <c r="E368">
        <v>24272</v>
      </c>
      <c r="F368" t="s">
        <v>212</v>
      </c>
      <c r="G368" t="s">
        <v>208</v>
      </c>
      <c r="H368">
        <v>17300</v>
      </c>
      <c r="I368" s="13">
        <v>15000</v>
      </c>
      <c r="J368" t="s">
        <v>48</v>
      </c>
      <c r="K368">
        <v>17</v>
      </c>
      <c r="M368" t="s">
        <v>48</v>
      </c>
      <c r="N368">
        <v>69000</v>
      </c>
    </row>
    <row r="369" spans="1:14">
      <c r="A369" t="s">
        <v>72</v>
      </c>
      <c r="B369" t="s">
        <v>819</v>
      </c>
      <c r="C369" t="s">
        <v>820</v>
      </c>
      <c r="D369">
        <v>49</v>
      </c>
      <c r="E369" s="12">
        <v>28136</v>
      </c>
      <c r="F369" t="s">
        <v>168</v>
      </c>
      <c r="G369" t="s">
        <v>213</v>
      </c>
      <c r="H369">
        <v>20300</v>
      </c>
      <c r="I369" s="14">
        <v>12000</v>
      </c>
      <c r="J369" t="s">
        <v>49</v>
      </c>
      <c r="K369">
        <v>27</v>
      </c>
      <c r="M369" t="s">
        <v>49</v>
      </c>
      <c r="N369">
        <v>67500</v>
      </c>
    </row>
    <row r="370" spans="1:14">
      <c r="A370" t="s">
        <v>821</v>
      </c>
      <c r="B370" t="s">
        <v>822</v>
      </c>
      <c r="C370">
        <v>3300</v>
      </c>
      <c r="D370">
        <v>31</v>
      </c>
      <c r="E370" t="s">
        <v>823</v>
      </c>
      <c r="F370" t="s">
        <v>107</v>
      </c>
      <c r="G370" t="s">
        <v>127</v>
      </c>
      <c r="H370">
        <v>20800</v>
      </c>
      <c r="I370" s="14">
        <v>17500</v>
      </c>
      <c r="J370" t="s">
        <v>48</v>
      </c>
      <c r="K370">
        <v>35</v>
      </c>
      <c r="M370" t="s">
        <v>48</v>
      </c>
      <c r="N370">
        <v>58000</v>
      </c>
    </row>
    <row r="371" spans="1:14">
      <c r="A371" t="s">
        <v>72</v>
      </c>
      <c r="B371" t="s">
        <v>824</v>
      </c>
      <c r="C371">
        <v>25500</v>
      </c>
      <c r="D371">
        <v>70</v>
      </c>
      <c r="E371" s="12">
        <v>20681</v>
      </c>
      <c r="F371" t="s">
        <v>122</v>
      </c>
      <c r="G371" s="1" t="s">
        <v>117</v>
      </c>
      <c r="H371" s="13">
        <v>15800</v>
      </c>
      <c r="I371">
        <v>17500</v>
      </c>
      <c r="J371" t="s">
        <v>48</v>
      </c>
      <c r="K371">
        <v>18</v>
      </c>
      <c r="M371" t="s">
        <v>48</v>
      </c>
      <c r="N371">
        <v>91000</v>
      </c>
    </row>
    <row r="372" spans="1:14">
      <c r="A372" t="s">
        <v>77</v>
      </c>
      <c r="B372" t="s">
        <v>825</v>
      </c>
      <c r="C372" t="s">
        <v>826</v>
      </c>
      <c r="D372">
        <v>57</v>
      </c>
      <c r="E372" s="12">
        <v>21494</v>
      </c>
      <c r="F372" t="s">
        <v>212</v>
      </c>
      <c r="G372" t="s">
        <v>208</v>
      </c>
      <c r="H372" s="13">
        <v>26300</v>
      </c>
      <c r="I372">
        <v>75500</v>
      </c>
      <c r="J372" t="s">
        <v>49</v>
      </c>
      <c r="K372">
        <v>25</v>
      </c>
      <c r="M372" t="s">
        <v>49</v>
      </c>
      <c r="N372">
        <v>44000</v>
      </c>
    </row>
    <row r="373" spans="1:14">
      <c r="A373" t="s">
        <v>72</v>
      </c>
      <c r="B373" t="s">
        <v>827</v>
      </c>
      <c r="C373" t="s">
        <v>828</v>
      </c>
      <c r="D373">
        <v>28</v>
      </c>
      <c r="E373">
        <v>35948</v>
      </c>
      <c r="F373" t="s">
        <v>164</v>
      </c>
      <c r="G373" s="1" t="s">
        <v>134</v>
      </c>
      <c r="H373">
        <v>14600</v>
      </c>
      <c r="I373" s="13">
        <v>23000</v>
      </c>
      <c r="J373">
        <v>1</v>
      </c>
      <c r="K373">
        <v>22</v>
      </c>
      <c r="M373">
        <v>1</v>
      </c>
      <c r="N373">
        <v>99000</v>
      </c>
    </row>
    <row r="374" spans="1:14">
      <c r="A374" t="s">
        <v>72</v>
      </c>
      <c r="B374" t="s">
        <v>829</v>
      </c>
      <c r="C374" t="s">
        <v>830</v>
      </c>
      <c r="D374">
        <v>50</v>
      </c>
      <c r="E374">
        <v>27729</v>
      </c>
      <c r="F374" t="s">
        <v>84</v>
      </c>
      <c r="G374" t="s">
        <v>831</v>
      </c>
      <c r="H374">
        <v>22800</v>
      </c>
      <c r="I374" s="14">
        <v>70000</v>
      </c>
      <c r="J374" t="s">
        <v>49</v>
      </c>
      <c r="K374">
        <v>14</v>
      </c>
      <c r="M374" t="s">
        <v>49</v>
      </c>
      <c r="N374">
        <v>25500</v>
      </c>
    </row>
    <row r="375" spans="1:14">
      <c r="A375" t="s">
        <v>77</v>
      </c>
      <c r="B375" t="s">
        <v>683</v>
      </c>
      <c r="C375" t="s">
        <v>832</v>
      </c>
      <c r="D375">
        <v>68</v>
      </c>
      <c r="E375" s="12">
        <v>21190</v>
      </c>
      <c r="F375" t="s">
        <v>136</v>
      </c>
      <c r="G375" t="s">
        <v>137</v>
      </c>
      <c r="H375">
        <v>2800</v>
      </c>
      <c r="I375">
        <v>76000</v>
      </c>
      <c r="J375" t="s">
        <v>48</v>
      </c>
      <c r="K375">
        <v>44</v>
      </c>
      <c r="M375" t="s">
        <v>48</v>
      </c>
      <c r="N375">
        <v>27000</v>
      </c>
    </row>
    <row r="376" spans="1:14">
      <c r="A376" t="s">
        <v>72</v>
      </c>
      <c r="B376" t="s">
        <v>833</v>
      </c>
      <c r="C376" t="s">
        <v>834</v>
      </c>
      <c r="D376">
        <v>40</v>
      </c>
      <c r="E376" s="12">
        <v>31458</v>
      </c>
      <c r="F376" t="s">
        <v>149</v>
      </c>
      <c r="G376" s="1" t="s">
        <v>137</v>
      </c>
      <c r="H376" s="13">
        <v>21300</v>
      </c>
      <c r="I376" s="13">
        <v>48500</v>
      </c>
      <c r="J376" t="s">
        <v>48</v>
      </c>
      <c r="K376">
        <v>6</v>
      </c>
      <c r="M376" t="s">
        <v>48</v>
      </c>
      <c r="N376">
        <v>62500</v>
      </c>
    </row>
    <row r="377" spans="1:14">
      <c r="B377" t="s">
        <v>803</v>
      </c>
      <c r="C377" t="s">
        <v>835</v>
      </c>
      <c r="D377">
        <v>61</v>
      </c>
      <c r="E377">
        <v>23834</v>
      </c>
      <c r="F377" t="s">
        <v>212</v>
      </c>
      <c r="G377" t="s">
        <v>208</v>
      </c>
      <c r="H377" s="14">
        <v>9100</v>
      </c>
      <c r="I377">
        <v>49000</v>
      </c>
      <c r="J377" t="s">
        <v>48</v>
      </c>
      <c r="K377">
        <v>1</v>
      </c>
      <c r="M377" t="s">
        <v>48</v>
      </c>
      <c r="N377">
        <v>48000</v>
      </c>
    </row>
    <row r="378" spans="1:14">
      <c r="A378" t="s">
        <v>72</v>
      </c>
      <c r="B378" t="s">
        <v>836</v>
      </c>
      <c r="C378" t="s">
        <v>837</v>
      </c>
      <c r="D378">
        <v>45</v>
      </c>
      <c r="E378" s="12">
        <v>29575</v>
      </c>
      <c r="F378" t="s">
        <v>122</v>
      </c>
      <c r="G378" t="s">
        <v>254</v>
      </c>
      <c r="H378">
        <v>16200</v>
      </c>
      <c r="I378">
        <v>59000</v>
      </c>
      <c r="J378" t="s">
        <v>48</v>
      </c>
      <c r="K378">
        <v>4</v>
      </c>
      <c r="M378" t="s">
        <v>48</v>
      </c>
      <c r="N378">
        <v>73500</v>
      </c>
    </row>
    <row r="379" spans="1:14">
      <c r="A379" t="s">
        <v>838</v>
      </c>
      <c r="B379" t="s">
        <v>839</v>
      </c>
      <c r="C379" t="s">
        <v>840</v>
      </c>
      <c r="D379">
        <v>62</v>
      </c>
      <c r="E379">
        <v>23358</v>
      </c>
      <c r="F379" t="s">
        <v>168</v>
      </c>
      <c r="G379" t="s">
        <v>208</v>
      </c>
      <c r="H379">
        <v>14600</v>
      </c>
      <c r="I379">
        <v>15500</v>
      </c>
      <c r="K379">
        <v>2</v>
      </c>
      <c r="N379">
        <v>2500</v>
      </c>
    </row>
    <row r="380" spans="1:14">
      <c r="A380" t="s">
        <v>72</v>
      </c>
      <c r="B380" t="s">
        <v>732</v>
      </c>
      <c r="C380" t="s">
        <v>733</v>
      </c>
      <c r="D380">
        <v>39</v>
      </c>
      <c r="E380" s="12">
        <v>31968</v>
      </c>
      <c r="F380" t="s">
        <v>841</v>
      </c>
      <c r="G380" s="1" t="s">
        <v>137</v>
      </c>
      <c r="H380">
        <v>8000</v>
      </c>
      <c r="I380" s="14">
        <v>69000</v>
      </c>
      <c r="J380" s="14" t="s">
        <v>48</v>
      </c>
      <c r="K380">
        <v>15</v>
      </c>
      <c r="M380" s="14" t="s">
        <v>48</v>
      </c>
      <c r="N380">
        <v>6500</v>
      </c>
    </row>
    <row r="381" spans="1:14">
      <c r="A381" t="s">
        <v>72</v>
      </c>
      <c r="B381" t="s">
        <v>842</v>
      </c>
      <c r="C381">
        <v>29000</v>
      </c>
      <c r="D381">
        <v>50</v>
      </c>
      <c r="E381">
        <v>33417</v>
      </c>
      <c r="F381" t="s">
        <v>133</v>
      </c>
      <c r="G381" t="s">
        <v>134</v>
      </c>
      <c r="H381" s="13">
        <v>23100</v>
      </c>
      <c r="I381" s="13">
        <v>55000</v>
      </c>
      <c r="J381" t="s">
        <v>48</v>
      </c>
      <c r="K381">
        <v>9</v>
      </c>
      <c r="M381" t="s">
        <v>48</v>
      </c>
      <c r="N381">
        <v>17000</v>
      </c>
    </row>
    <row r="382" spans="1:14">
      <c r="A382" t="s">
        <v>838</v>
      </c>
      <c r="B382" t="s">
        <v>723</v>
      </c>
      <c r="C382">
        <v>16600</v>
      </c>
      <c r="D382">
        <v>35</v>
      </c>
      <c r="E382" s="12">
        <v>19193</v>
      </c>
      <c r="F382" t="s">
        <v>168</v>
      </c>
      <c r="G382" t="s">
        <v>208</v>
      </c>
      <c r="H382" s="13">
        <v>12400</v>
      </c>
      <c r="I382">
        <v>36000</v>
      </c>
      <c r="J382" t="s">
        <v>48</v>
      </c>
      <c r="K382">
        <v>3</v>
      </c>
      <c r="M382" t="s">
        <v>48</v>
      </c>
      <c r="N382">
        <v>71500</v>
      </c>
    </row>
    <row r="383" spans="1:14">
      <c r="B383" t="s">
        <v>843</v>
      </c>
      <c r="C383">
        <v>14500</v>
      </c>
      <c r="D383">
        <v>64</v>
      </c>
      <c r="E383">
        <v>32908</v>
      </c>
      <c r="F383" t="s">
        <v>240</v>
      </c>
      <c r="G383" s="1" t="s">
        <v>453</v>
      </c>
      <c r="H383">
        <v>9400</v>
      </c>
      <c r="I383" t="s">
        <v>844</v>
      </c>
      <c r="J383" t="s">
        <v>48</v>
      </c>
      <c r="K383">
        <v>9</v>
      </c>
      <c r="M383" t="s">
        <v>48</v>
      </c>
      <c r="N383">
        <v>14500</v>
      </c>
    </row>
    <row r="384" spans="1:14">
      <c r="A384" t="s">
        <v>72</v>
      </c>
      <c r="B384" t="s">
        <v>845</v>
      </c>
      <c r="C384" t="s">
        <v>846</v>
      </c>
      <c r="D384">
        <v>36</v>
      </c>
      <c r="E384">
        <v>35757</v>
      </c>
      <c r="F384" t="s">
        <v>116</v>
      </c>
      <c r="G384" t="s">
        <v>254</v>
      </c>
      <c r="H384">
        <v>16600</v>
      </c>
      <c r="I384">
        <v>23500</v>
      </c>
      <c r="J384" t="s">
        <v>48</v>
      </c>
      <c r="K384">
        <v>10</v>
      </c>
      <c r="M384" t="s">
        <v>48</v>
      </c>
      <c r="N384">
        <v>21500</v>
      </c>
    </row>
    <row r="385" spans="1:14">
      <c r="A385" t="s">
        <v>72</v>
      </c>
      <c r="B385" t="s">
        <v>847</v>
      </c>
      <c r="C385">
        <v>1800</v>
      </c>
      <c r="D385">
        <v>26</v>
      </c>
      <c r="E385">
        <v>29054</v>
      </c>
      <c r="F385" t="s">
        <v>212</v>
      </c>
      <c r="G385" t="s">
        <v>208</v>
      </c>
      <c r="H385">
        <v>18400</v>
      </c>
      <c r="I385">
        <v>0</v>
      </c>
      <c r="J385" t="s">
        <v>49</v>
      </c>
      <c r="K385">
        <v>31</v>
      </c>
      <c r="M385" t="s">
        <v>49</v>
      </c>
      <c r="N385">
        <v>89500</v>
      </c>
    </row>
    <row r="386" spans="1:14">
      <c r="A386" t="s">
        <v>838</v>
      </c>
      <c r="B386" t="s">
        <v>131</v>
      </c>
      <c r="C386" t="s">
        <v>132</v>
      </c>
      <c r="D386">
        <v>47</v>
      </c>
      <c r="F386" t="s">
        <v>133</v>
      </c>
      <c r="G386" t="s">
        <v>848</v>
      </c>
      <c r="H386">
        <v>13300</v>
      </c>
      <c r="I386">
        <v>1000</v>
      </c>
      <c r="J386" t="s">
        <v>49</v>
      </c>
      <c r="K386">
        <v>24</v>
      </c>
      <c r="M386" t="s">
        <v>49</v>
      </c>
      <c r="N386">
        <v>39500</v>
      </c>
    </row>
    <row r="387" spans="1:14">
      <c r="A387" t="s">
        <v>72</v>
      </c>
      <c r="B387" t="s">
        <v>819</v>
      </c>
      <c r="C387" t="s">
        <v>820</v>
      </c>
      <c r="D387">
        <v>49</v>
      </c>
      <c r="E387" s="12">
        <v>28136</v>
      </c>
      <c r="F387" t="s">
        <v>168</v>
      </c>
      <c r="G387" t="s">
        <v>213</v>
      </c>
      <c r="H387">
        <v>20300</v>
      </c>
      <c r="I387" s="14">
        <v>12000</v>
      </c>
      <c r="J387" t="s">
        <v>49</v>
      </c>
      <c r="K387">
        <v>27</v>
      </c>
      <c r="L387" t="s">
        <v>49</v>
      </c>
      <c r="M387">
        <v>67500</v>
      </c>
    </row>
    <row r="388" spans="1:14">
      <c r="A388" t="s">
        <v>100</v>
      </c>
      <c r="B388" t="s">
        <v>849</v>
      </c>
      <c r="C388" t="s">
        <v>850</v>
      </c>
      <c r="D388">
        <v>73</v>
      </c>
      <c r="E388" s="12">
        <v>19364</v>
      </c>
      <c r="F388" t="s">
        <v>212</v>
      </c>
      <c r="G388" t="s">
        <v>144</v>
      </c>
      <c r="H388" s="14">
        <v>16500</v>
      </c>
      <c r="I388" s="13">
        <v>54000</v>
      </c>
      <c r="J388" t="s">
        <v>48</v>
      </c>
      <c r="K388">
        <v>11</v>
      </c>
      <c r="L388" t="s">
        <v>48</v>
      </c>
      <c r="M388">
        <v>33500</v>
      </c>
    </row>
    <row r="389" spans="1:14">
      <c r="A389" t="s">
        <v>72</v>
      </c>
      <c r="B389" t="s">
        <v>851</v>
      </c>
      <c r="C389" t="s">
        <v>852</v>
      </c>
      <c r="D389">
        <v>26</v>
      </c>
      <c r="E389" s="12">
        <v>36422</v>
      </c>
      <c r="F389" t="s">
        <v>84</v>
      </c>
      <c r="G389" t="s">
        <v>329</v>
      </c>
      <c r="H389" s="13">
        <v>8900</v>
      </c>
      <c r="I389">
        <v>72000</v>
      </c>
      <c r="J389" t="s">
        <v>48</v>
      </c>
      <c r="K389">
        <v>17</v>
      </c>
      <c r="M389">
        <v>11000</v>
      </c>
    </row>
    <row r="390" spans="1:14">
      <c r="A390" t="s">
        <v>72</v>
      </c>
      <c r="B390" t="s">
        <v>732</v>
      </c>
      <c r="C390" t="s">
        <v>853</v>
      </c>
      <c r="D390">
        <v>33</v>
      </c>
      <c r="E390">
        <v>33892</v>
      </c>
      <c r="F390" t="s">
        <v>122</v>
      </c>
      <c r="H390">
        <v>29200</v>
      </c>
      <c r="I390">
        <v>3000</v>
      </c>
      <c r="J390" t="s">
        <v>49</v>
      </c>
      <c r="K390">
        <v>40</v>
      </c>
      <c r="L390" t="s">
        <v>49</v>
      </c>
      <c r="M390">
        <v>26000</v>
      </c>
    </row>
    <row r="391" spans="1:14">
      <c r="A391" t="s">
        <v>72</v>
      </c>
      <c r="B391" t="s">
        <v>854</v>
      </c>
      <c r="C391" t="s">
        <v>855</v>
      </c>
      <c r="D391" t="s">
        <v>856</v>
      </c>
      <c r="E391">
        <v>21671</v>
      </c>
      <c r="F391" t="s">
        <v>79</v>
      </c>
      <c r="G391" t="s">
        <v>183</v>
      </c>
      <c r="H391">
        <v>6500</v>
      </c>
      <c r="I391">
        <v>42500</v>
      </c>
      <c r="J391" t="s">
        <v>49</v>
      </c>
      <c r="K391">
        <v>3</v>
      </c>
      <c r="L391" t="s">
        <v>49</v>
      </c>
      <c r="M391">
        <v>8000</v>
      </c>
    </row>
    <row r="392" spans="1:14">
      <c r="A392" t="s">
        <v>72</v>
      </c>
      <c r="B392" t="s">
        <v>857</v>
      </c>
      <c r="C392">
        <v>18300</v>
      </c>
      <c r="D392">
        <v>72</v>
      </c>
      <c r="E392">
        <v>19801</v>
      </c>
      <c r="F392" t="s">
        <v>220</v>
      </c>
      <c r="G392" t="s">
        <v>411</v>
      </c>
      <c r="H392">
        <v>10200</v>
      </c>
      <c r="I392">
        <v>0</v>
      </c>
      <c r="J392" t="s">
        <v>48</v>
      </c>
      <c r="K392">
        <v>27</v>
      </c>
      <c r="L392" t="s">
        <v>48</v>
      </c>
      <c r="M392">
        <v>99500</v>
      </c>
    </row>
    <row r="393" spans="1:14">
      <c r="A393" t="s">
        <v>72</v>
      </c>
      <c r="B393" t="s">
        <v>858</v>
      </c>
      <c r="C393" t="s">
        <v>859</v>
      </c>
      <c r="D393">
        <v>35</v>
      </c>
      <c r="E393" s="12">
        <v>33370</v>
      </c>
      <c r="F393" t="s">
        <v>84</v>
      </c>
      <c r="G393" t="s">
        <v>85</v>
      </c>
      <c r="H393" s="13">
        <v>5600</v>
      </c>
      <c r="I393">
        <v>69500</v>
      </c>
      <c r="J393" t="s">
        <v>48</v>
      </c>
      <c r="K393">
        <v>13</v>
      </c>
      <c r="L393" t="s">
        <v>48</v>
      </c>
      <c r="M393">
        <v>43500</v>
      </c>
    </row>
    <row r="394" spans="1:14">
      <c r="A394" t="s">
        <v>72</v>
      </c>
      <c r="B394" t="s">
        <v>475</v>
      </c>
      <c r="C394" t="s">
        <v>860</v>
      </c>
      <c r="D394">
        <v>33</v>
      </c>
      <c r="E394">
        <v>34084</v>
      </c>
      <c r="F394" t="s">
        <v>149</v>
      </c>
      <c r="G394" t="s">
        <v>137</v>
      </c>
      <c r="H394" s="13">
        <v>29700</v>
      </c>
      <c r="I394">
        <v>38000</v>
      </c>
      <c r="J394" t="s">
        <v>49</v>
      </c>
      <c r="K394">
        <v>41</v>
      </c>
      <c r="L394" t="s">
        <v>49</v>
      </c>
      <c r="M394">
        <v>83500</v>
      </c>
    </row>
    <row r="395" spans="1:14">
      <c r="A395" t="s">
        <v>72</v>
      </c>
      <c r="B395" t="s">
        <v>861</v>
      </c>
      <c r="C395" t="s">
        <v>862</v>
      </c>
      <c r="D395">
        <v>58</v>
      </c>
      <c r="E395" s="12">
        <v>24777</v>
      </c>
      <c r="F395" t="s">
        <v>75</v>
      </c>
      <c r="G395" t="s">
        <v>76</v>
      </c>
      <c r="H395" t="s">
        <v>863</v>
      </c>
      <c r="I395">
        <v>0</v>
      </c>
      <c r="J395" t="s">
        <v>48</v>
      </c>
      <c r="K395">
        <v>42</v>
      </c>
      <c r="L395" t="s">
        <v>48</v>
      </c>
      <c r="M395">
        <v>33000</v>
      </c>
    </row>
    <row r="396" spans="1:14">
      <c r="A396" t="s">
        <v>77</v>
      </c>
      <c r="B396" t="s">
        <v>499</v>
      </c>
      <c r="C396" t="s">
        <v>500</v>
      </c>
      <c r="D396">
        <v>65</v>
      </c>
      <c r="E396">
        <v>22205</v>
      </c>
      <c r="F396" t="s">
        <v>136</v>
      </c>
      <c r="G396" t="s">
        <v>137</v>
      </c>
      <c r="H396">
        <v>19800</v>
      </c>
      <c r="I396" s="14">
        <v>78500</v>
      </c>
      <c r="J396" t="s">
        <v>48</v>
      </c>
      <c r="K396">
        <v>34</v>
      </c>
      <c r="L396" t="s">
        <v>48</v>
      </c>
      <c r="M396">
        <v>84000</v>
      </c>
    </row>
    <row r="397" spans="1:14">
      <c r="A397" t="s">
        <v>77</v>
      </c>
      <c r="B397" t="s">
        <v>792</v>
      </c>
      <c r="C397">
        <v>8400</v>
      </c>
      <c r="D397">
        <v>38</v>
      </c>
      <c r="E397" s="12">
        <v>32351</v>
      </c>
      <c r="F397" t="s">
        <v>84</v>
      </c>
      <c r="G397" t="s">
        <v>329</v>
      </c>
      <c r="H397">
        <v>23600</v>
      </c>
      <c r="I397">
        <v>0</v>
      </c>
      <c r="J397" t="s">
        <v>48</v>
      </c>
      <c r="L397" t="s">
        <v>48</v>
      </c>
      <c r="M397">
        <v>28500</v>
      </c>
    </row>
    <row r="398" spans="1:14">
      <c r="A398" t="s">
        <v>72</v>
      </c>
      <c r="B398" t="s">
        <v>580</v>
      </c>
      <c r="C398" t="s">
        <v>864</v>
      </c>
      <c r="D398">
        <v>60</v>
      </c>
      <c r="E398">
        <v>24100</v>
      </c>
      <c r="F398" t="s">
        <v>133</v>
      </c>
      <c r="G398" t="s">
        <v>141</v>
      </c>
      <c r="H398" s="14">
        <v>9700</v>
      </c>
      <c r="I398" s="14">
        <v>61000</v>
      </c>
      <c r="J398" t="s">
        <v>49</v>
      </c>
      <c r="K398">
        <v>9</v>
      </c>
      <c r="L398" t="s">
        <v>49</v>
      </c>
      <c r="M398">
        <v>88000</v>
      </c>
    </row>
    <row r="399" spans="1:14">
      <c r="A399" t="s">
        <v>72</v>
      </c>
      <c r="B399" t="s">
        <v>865</v>
      </c>
      <c r="C399">
        <v>5300</v>
      </c>
      <c r="D399">
        <v>56</v>
      </c>
      <c r="E399">
        <v>25578</v>
      </c>
      <c r="F399" t="s">
        <v>107</v>
      </c>
      <c r="G399" t="s">
        <v>127</v>
      </c>
      <c r="H399" s="14">
        <v>14900</v>
      </c>
      <c r="I399">
        <v>0</v>
      </c>
      <c r="J399" t="s">
        <v>48</v>
      </c>
      <c r="K399">
        <v>13</v>
      </c>
      <c r="L399" t="s">
        <v>48</v>
      </c>
      <c r="M399">
        <v>71000</v>
      </c>
    </row>
    <row r="400" spans="1:14">
      <c r="A400" t="s">
        <v>72</v>
      </c>
      <c r="B400" t="s">
        <v>866</v>
      </c>
      <c r="C400" t="s">
        <v>867</v>
      </c>
      <c r="D400">
        <v>35</v>
      </c>
      <c r="E400">
        <v>33306</v>
      </c>
      <c r="F400" t="s">
        <v>79</v>
      </c>
      <c r="G400" t="s">
        <v>301</v>
      </c>
      <c r="H400">
        <v>9700</v>
      </c>
      <c r="I400" t="s">
        <v>48</v>
      </c>
      <c r="K400">
        <v>20</v>
      </c>
      <c r="L400" t="s">
        <v>48</v>
      </c>
      <c r="M400">
        <v>31000</v>
      </c>
    </row>
    <row r="401" spans="1:13">
      <c r="A401" t="s">
        <v>72</v>
      </c>
      <c r="B401" t="s">
        <v>868</v>
      </c>
      <c r="C401">
        <v>7200</v>
      </c>
      <c r="D401">
        <v>72</v>
      </c>
      <c r="E401" s="12">
        <v>19852</v>
      </c>
      <c r="F401" t="s">
        <v>300</v>
      </c>
      <c r="G401" t="s">
        <v>80</v>
      </c>
      <c r="H401" s="14">
        <v>27100</v>
      </c>
      <c r="I401">
        <v>71000</v>
      </c>
      <c r="J401" t="s">
        <v>48</v>
      </c>
      <c r="K401">
        <v>32</v>
      </c>
      <c r="L401" t="s">
        <v>48</v>
      </c>
      <c r="M401">
        <v>29500</v>
      </c>
    </row>
    <row r="402" spans="1:13">
      <c r="A402" t="s">
        <v>72</v>
      </c>
      <c r="B402" t="s">
        <v>869</v>
      </c>
      <c r="C402" t="s">
        <v>870</v>
      </c>
      <c r="D402">
        <v>52</v>
      </c>
      <c r="E402" s="12">
        <v>27214</v>
      </c>
      <c r="F402" t="s">
        <v>340</v>
      </c>
      <c r="H402">
        <v>17500</v>
      </c>
      <c r="I402">
        <v>6500</v>
      </c>
      <c r="J402">
        <v>0</v>
      </c>
      <c r="L402">
        <v>0</v>
      </c>
      <c r="M402">
        <v>42500</v>
      </c>
    </row>
    <row r="403" spans="1:13">
      <c r="A403" t="s">
        <v>72</v>
      </c>
      <c r="B403" t="s">
        <v>822</v>
      </c>
      <c r="C403">
        <v>3300</v>
      </c>
      <c r="D403">
        <v>31</v>
      </c>
      <c r="E403" s="12">
        <v>34914</v>
      </c>
      <c r="F403" t="s">
        <v>107</v>
      </c>
      <c r="G403" t="s">
        <v>127</v>
      </c>
      <c r="H403" t="s">
        <v>805</v>
      </c>
      <c r="I403" s="14">
        <v>17500</v>
      </c>
      <c r="J403" t="s">
        <v>48</v>
      </c>
      <c r="K403">
        <v>35</v>
      </c>
      <c r="L403" t="s">
        <v>48</v>
      </c>
      <c r="M403">
        <v>58000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2A86-21DC-4172-8E18-3BBC9A0018C4}">
  <dimension ref="A1"/>
  <sheetViews>
    <sheetView topLeftCell="A28" workbookViewId="0">
      <selection activeCell="Z29" sqref="Z29"/>
    </sheetView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8E61-4EA3-40F2-946C-64A07B5119C0}">
  <dimension ref="A1:P402"/>
  <sheetViews>
    <sheetView tabSelected="1" topLeftCell="B389" workbookViewId="0">
      <selection activeCell="N2" sqref="N2"/>
    </sheetView>
  </sheetViews>
  <sheetFormatPr defaultColWidth="14.7109375" defaultRowHeight="15"/>
  <cols>
    <col min="1" max="1" width="9.140625" style="5" bestFit="1" customWidth="1"/>
    <col min="2" max="2" width="22.140625" style="6" bestFit="1" customWidth="1"/>
    <col min="3" max="3" width="15" style="6" bestFit="1" customWidth="1"/>
    <col min="4" max="4" width="8.7109375" style="5" bestFit="1" customWidth="1"/>
    <col min="5" max="5" width="20" style="8" bestFit="1" customWidth="1"/>
    <col min="6" max="6" width="23" bestFit="1" customWidth="1"/>
    <col min="7" max="7" width="21" bestFit="1" customWidth="1"/>
    <col min="8" max="8" width="17" style="9" bestFit="1" customWidth="1"/>
    <col min="9" max="9" width="18.85546875" style="9" bestFit="1" customWidth="1"/>
    <col min="10" max="10" width="17" style="5" bestFit="1" customWidth="1"/>
    <col min="11" max="11" width="13.5703125" style="5" bestFit="1" customWidth="1"/>
    <col min="12" max="12" width="20.85546875" style="5" bestFit="1" customWidth="1"/>
    <col min="13" max="13" width="18.7109375" style="2" bestFit="1" customWidth="1"/>
    <col min="14" max="14" width="19.42578125" style="5" bestFit="1" customWidth="1"/>
    <col min="15" max="15" width="19.28515625" style="5" bestFit="1" customWidth="1"/>
    <col min="16" max="16" width="24.85546875" style="2" bestFit="1" customWidth="1"/>
  </cols>
  <sheetData>
    <row r="1" spans="1:16" s="3" customFormat="1" ht="21" customHeight="1">
      <c r="A1" s="35" t="s">
        <v>59</v>
      </c>
      <c r="B1" s="35" t="s">
        <v>60</v>
      </c>
      <c r="C1" s="35" t="s">
        <v>61</v>
      </c>
      <c r="D1" s="35" t="s">
        <v>62</v>
      </c>
      <c r="E1" s="36" t="s">
        <v>63</v>
      </c>
      <c r="F1" s="37" t="s">
        <v>64</v>
      </c>
      <c r="G1" s="37" t="s">
        <v>65</v>
      </c>
      <c r="H1" s="38" t="s">
        <v>66</v>
      </c>
      <c r="I1" s="38" t="s">
        <v>67</v>
      </c>
      <c r="J1" s="35" t="s">
        <v>69</v>
      </c>
      <c r="K1" s="35" t="s">
        <v>70</v>
      </c>
      <c r="L1" s="35" t="s">
        <v>68</v>
      </c>
      <c r="M1" s="39" t="s">
        <v>71</v>
      </c>
      <c r="N1" s="35" t="s">
        <v>871</v>
      </c>
      <c r="O1" s="40" t="s">
        <v>872</v>
      </c>
      <c r="P1" s="41" t="s">
        <v>873</v>
      </c>
    </row>
    <row r="2" spans="1:16">
      <c r="A2" s="5" t="s">
        <v>72</v>
      </c>
      <c r="B2" s="47" t="s">
        <v>126</v>
      </c>
      <c r="C2" s="47" t="s">
        <v>535</v>
      </c>
      <c r="D2" s="5">
        <v>59</v>
      </c>
      <c r="E2" s="8">
        <v>24710</v>
      </c>
      <c r="F2" t="s">
        <v>133</v>
      </c>
      <c r="G2" s="1" t="s">
        <v>134</v>
      </c>
      <c r="H2" s="9">
        <v>19900</v>
      </c>
      <c r="I2" s="9">
        <v>55000</v>
      </c>
      <c r="J2" s="5">
        <v>26</v>
      </c>
      <c r="K2" s="5" t="str">
        <f>IF(J2&lt;=10, "Baixo", IF(J2&lt;=25, "Médio", "Alto"))</f>
        <v>Alto</v>
      </c>
      <c r="L2" s="5" t="s">
        <v>874</v>
      </c>
      <c r="M2" s="2">
        <v>100000</v>
      </c>
      <c r="N2" s="5" t="str">
        <f>IF(A2="Inativo", "Inativo", IF(A2="", "Negado", IF(COUNTIF(C:C, C2)&gt;1, "Negado", IF(AND(K2="Alto", L2="S"), "Negado", "Aprovado"))))</f>
        <v>Aprovado</v>
      </c>
      <c r="O2" s="5" t="str">
        <f>IF(A2="Inativo", "Inativo", IF(A2="", "Negado", IF(COUNTIF(C:C, C2)&gt;1, "Negado", IF(AND(I2&gt;50000, L2="S"), "Negado", "Aprovado"))))</f>
        <v>Aprovado</v>
      </c>
      <c r="P2" s="2">
        <f>IF(OR(N2="Negado", O2="Negado", A2="", L2=""), 0, IF(A2="Ativo", M2*0.08, 0))</f>
        <v>8000</v>
      </c>
    </row>
    <row r="3" spans="1:16">
      <c r="A3" s="5" t="s">
        <v>72</v>
      </c>
      <c r="B3" s="47" t="s">
        <v>119</v>
      </c>
      <c r="C3" s="47" t="s">
        <v>120</v>
      </c>
      <c r="D3" s="5">
        <v>33</v>
      </c>
      <c r="E3" s="8">
        <v>34147</v>
      </c>
      <c r="F3" t="s">
        <v>116</v>
      </c>
      <c r="G3" t="s">
        <v>117</v>
      </c>
      <c r="H3" s="9">
        <v>28700</v>
      </c>
      <c r="I3" s="9">
        <v>12500</v>
      </c>
      <c r="J3" s="5">
        <v>41</v>
      </c>
      <c r="K3" s="5" t="str">
        <f>IF(J3&lt;=10, "Baixo", IF(J3&lt;=25, "Médio", "Alto"))</f>
        <v>Alto</v>
      </c>
      <c r="L3" s="5" t="s">
        <v>874</v>
      </c>
      <c r="M3" s="2">
        <v>99500</v>
      </c>
      <c r="N3" s="5" t="str">
        <f>IF(A3="Inativo", "Inativo", IF(A3="", "Negado", IF(COUNTIF(C:C, C3)&gt;1, "Negado", IF(AND(K3="Alto", L3="S"), "Negado", "Aprovado"))))</f>
        <v>Aprovado</v>
      </c>
      <c r="O3" s="5" t="str">
        <f>IF(A3="Inativo", "Inativo", IF(A3="", "Negado", IF(COUNTIF(C:C, C3)&gt;1, "Negado", IF(AND(I3&gt;50000, L3="S"), "Negado", "Aprovado"))))</f>
        <v>Aprovado</v>
      </c>
      <c r="P3" s="2">
        <f>IF(OR(N3="Negado", O3="Negado", A3="", L3=""), 0, IF(A3="Ativo", M3*0.08, 0))</f>
        <v>7960</v>
      </c>
    </row>
    <row r="4" spans="1:16">
      <c r="A4" s="5" t="s">
        <v>72</v>
      </c>
      <c r="B4" s="47" t="s">
        <v>857</v>
      </c>
      <c r="C4" s="47" t="s">
        <v>875</v>
      </c>
      <c r="D4" s="5">
        <v>72</v>
      </c>
      <c r="E4" s="8">
        <v>19801</v>
      </c>
      <c r="F4" t="s">
        <v>220</v>
      </c>
      <c r="G4" t="s">
        <v>411</v>
      </c>
      <c r="H4" s="9">
        <v>10200</v>
      </c>
      <c r="I4" s="9">
        <v>0</v>
      </c>
      <c r="J4" s="5">
        <v>27</v>
      </c>
      <c r="K4" s="5" t="str">
        <f>IF(J4&lt;=10, "Baixo", IF(J4&lt;=25, "Médio", "Alto"))</f>
        <v>Alto</v>
      </c>
      <c r="L4" s="5" t="s">
        <v>874</v>
      </c>
      <c r="M4" s="2">
        <v>99500</v>
      </c>
      <c r="N4" s="5" t="str">
        <f>IF(A4="Inativo", "Inativo", IF(A4="", "Negado", IF(COUNTIF(C:C, C4)&gt;1, "Negado", IF(AND(K4="Alto", L4="S"), "Negado", "Aprovado"))))</f>
        <v>Aprovado</v>
      </c>
      <c r="O4" s="5" t="str">
        <f>IF(A4="Inativo", "Inativo", IF(A4="", "Negado", IF(COUNTIF(C:C, C4)&gt;1, "Negado", IF(AND(I4&gt;50000, L4="S"), "Negado", "Aprovado"))))</f>
        <v>Aprovado</v>
      </c>
      <c r="P4" s="2">
        <f>IF(OR(N4="Negado", O4="Negado", A4="", L4=""), 0, IF(A4="Ativo", M4*0.08, 0))</f>
        <v>7960</v>
      </c>
    </row>
    <row r="5" spans="1:16">
      <c r="A5" s="5" t="s">
        <v>72</v>
      </c>
      <c r="B5" s="47" t="s">
        <v>827</v>
      </c>
      <c r="C5" s="47" t="s">
        <v>828</v>
      </c>
      <c r="D5" s="5">
        <v>28</v>
      </c>
      <c r="E5" s="8">
        <v>35948</v>
      </c>
      <c r="F5" t="s">
        <v>164</v>
      </c>
      <c r="G5" s="1" t="s">
        <v>134</v>
      </c>
      <c r="H5" s="9">
        <v>14600</v>
      </c>
      <c r="I5" s="9">
        <v>23000</v>
      </c>
      <c r="J5" s="5">
        <v>22</v>
      </c>
      <c r="K5" s="5" t="str">
        <f>IF(J5&lt;=10, "Baixo", IF(J5&lt;=25, "Médio", "Alto"))</f>
        <v>Médio</v>
      </c>
      <c r="L5" s="5" t="s">
        <v>876</v>
      </c>
      <c r="M5" s="2">
        <v>99000</v>
      </c>
      <c r="N5" s="5" t="str">
        <f>IF(A5="Inativo", "Inativo", IF(A5="", "Negado", IF(COUNTIF(C:C, C5)&gt;1, "Negado", IF(AND(K5="Alto", L5="S"), "Negado", "Aprovado"))))</f>
        <v>Aprovado</v>
      </c>
      <c r="O5" s="5" t="str">
        <f>IF(A5="Inativo", "Inativo", IF(A5="", "Negado", IF(COUNTIF(C:C, C5)&gt;1, "Negado", IF(AND(I5&gt;50000, L5="S"), "Negado", "Aprovado"))))</f>
        <v>Aprovado</v>
      </c>
      <c r="P5" s="2">
        <f>IF(OR(N5="Negado", O5="Negado", A5="", L5=""), 0, IF(A5="Ativo", M5*0.08, 0))</f>
        <v>7920</v>
      </c>
    </row>
    <row r="6" spans="1:16">
      <c r="A6" s="5" t="s">
        <v>72</v>
      </c>
      <c r="B6" s="47" t="s">
        <v>384</v>
      </c>
      <c r="C6" s="47" t="s">
        <v>385</v>
      </c>
      <c r="D6" s="5">
        <v>28</v>
      </c>
      <c r="E6" s="8">
        <v>35993</v>
      </c>
      <c r="F6" t="s">
        <v>98</v>
      </c>
      <c r="G6" t="s">
        <v>103</v>
      </c>
      <c r="H6" s="9">
        <v>13400</v>
      </c>
      <c r="I6" s="9">
        <v>54000</v>
      </c>
      <c r="J6" s="5">
        <v>15</v>
      </c>
      <c r="K6" s="5" t="str">
        <f>IF(J6&lt;=10, "Baixo", IF(J6&lt;=25, "Médio", "Alto"))</f>
        <v>Médio</v>
      </c>
      <c r="L6" s="5" t="s">
        <v>874</v>
      </c>
      <c r="M6" s="2">
        <v>99000</v>
      </c>
      <c r="N6" s="5" t="str">
        <f>IF(A6="Inativo", "Inativo", IF(A6="", "Negado", IF(COUNTIF(C:C, C6)&gt;1, "Negado", IF(AND(K6="Alto", L6="S"), "Negado", "Aprovado"))))</f>
        <v>Aprovado</v>
      </c>
      <c r="O6" s="5" t="str">
        <f>IF(A6="Inativo", "Inativo", IF(A6="", "Negado", IF(COUNTIF(C:C, C6)&gt;1, "Negado", IF(AND(I6&gt;50000, L6="S"), "Negado", "Aprovado"))))</f>
        <v>Aprovado</v>
      </c>
      <c r="P6" s="2">
        <f>IF(OR(N6="Negado", O6="Negado", A6="", L6=""), 0, IF(A6="Ativo", M6*0.08, 0))</f>
        <v>7920</v>
      </c>
    </row>
    <row r="7" spans="1:16">
      <c r="A7" s="5" t="s">
        <v>72</v>
      </c>
      <c r="B7" s="47" t="s">
        <v>357</v>
      </c>
      <c r="C7" s="47" t="s">
        <v>877</v>
      </c>
      <c r="D7" s="5">
        <v>47</v>
      </c>
      <c r="E7" s="8">
        <v>29031</v>
      </c>
      <c r="F7" t="s">
        <v>116</v>
      </c>
      <c r="G7" s="1" t="s">
        <v>117</v>
      </c>
      <c r="H7" s="9">
        <v>28400</v>
      </c>
      <c r="I7" s="9">
        <v>78000</v>
      </c>
      <c r="J7" s="5">
        <v>37</v>
      </c>
      <c r="K7" s="5" t="str">
        <f>IF(J7&lt;=10, "Baixo", IF(J7&lt;=25, "Médio", "Alto"))</f>
        <v>Alto</v>
      </c>
      <c r="L7" s="5" t="s">
        <v>874</v>
      </c>
      <c r="M7" s="2">
        <v>99000</v>
      </c>
      <c r="N7" s="5" t="str">
        <f>IF(A7="Inativo", "Inativo", IF(A7="", "Negado", IF(COUNTIF(C:C, C7)&gt;1, "Negado", IF(AND(K7="Alto", L7="S"), "Negado", "Aprovado"))))</f>
        <v>Aprovado</v>
      </c>
      <c r="O7" s="5" t="str">
        <f>IF(A7="Inativo", "Inativo", IF(A7="", "Negado", IF(COUNTIF(C:C, C7)&gt;1, "Negado", IF(AND(I7&gt;50000, L7="S"), "Negado", "Aprovado"))))</f>
        <v>Aprovado</v>
      </c>
      <c r="P7" s="2">
        <f>IF(OR(N7="Negado", O7="Negado", A7="", L7=""), 0, IF(A7="Ativo", M7*0.08, 0))</f>
        <v>7920</v>
      </c>
    </row>
    <row r="8" spans="1:16">
      <c r="A8" s="5" t="s">
        <v>72</v>
      </c>
      <c r="B8" s="47" t="s">
        <v>585</v>
      </c>
      <c r="C8" s="47" t="s">
        <v>878</v>
      </c>
      <c r="D8" s="5">
        <v>67</v>
      </c>
      <c r="E8" s="8">
        <v>21619</v>
      </c>
      <c r="F8" t="s">
        <v>79</v>
      </c>
      <c r="G8" t="s">
        <v>301</v>
      </c>
      <c r="H8" s="9">
        <v>20200</v>
      </c>
      <c r="I8" s="9">
        <v>6500</v>
      </c>
      <c r="J8" s="5">
        <v>1</v>
      </c>
      <c r="K8" s="5" t="str">
        <f>IF(J8&lt;=10, "Baixo", IF(J8&lt;=25, "Médio", "Alto"))</f>
        <v>Baixo</v>
      </c>
      <c r="L8" s="5" t="s">
        <v>874</v>
      </c>
      <c r="M8" s="2">
        <v>98500</v>
      </c>
      <c r="N8" s="5" t="str">
        <f>IF(A8="Inativo", "Inativo", IF(A8="", "Negado", IF(COUNTIF(C:C, C8)&gt;1, "Negado", IF(AND(K8="Alto", L8="S"), "Negado", "Aprovado"))))</f>
        <v>Aprovado</v>
      </c>
      <c r="O8" s="5" t="str">
        <f>IF(A8="Inativo", "Inativo", IF(A8="", "Negado", IF(COUNTIF(C:C, C8)&gt;1, "Negado", IF(AND(I8&gt;50000, L8="S"), "Negado", "Aprovado"))))</f>
        <v>Aprovado</v>
      </c>
      <c r="P8" s="2">
        <f>IF(OR(N8="Negado", O8="Negado", A8="", L8=""), 0, IF(A8="Ativo", M8*0.08, 0))</f>
        <v>7880</v>
      </c>
    </row>
    <row r="9" spans="1:16">
      <c r="A9" s="5" t="s">
        <v>77</v>
      </c>
      <c r="B9" s="47" t="s">
        <v>501</v>
      </c>
      <c r="C9" s="47" t="s">
        <v>502</v>
      </c>
      <c r="D9" s="5">
        <v>59</v>
      </c>
      <c r="E9" s="8">
        <v>24726</v>
      </c>
      <c r="F9" t="s">
        <v>116</v>
      </c>
      <c r="G9" t="s">
        <v>117</v>
      </c>
      <c r="H9" s="9">
        <v>20100</v>
      </c>
      <c r="I9" s="9">
        <v>40000</v>
      </c>
      <c r="J9" s="5">
        <v>16</v>
      </c>
      <c r="K9" s="5" t="str">
        <f>IF(J9&lt;=10, "Baixo", IF(J9&lt;=25, "Médio", "Alto"))</f>
        <v>Médio</v>
      </c>
      <c r="L9" s="5" t="s">
        <v>874</v>
      </c>
      <c r="M9" s="2">
        <v>98500</v>
      </c>
      <c r="N9" s="5" t="str">
        <f>IF(A9="Inativo", "Inativo", IF(A9="", "Negado", IF(COUNTIF(C:C, C9)&gt;1, "Negado", IF(AND(K9="Alto", L9="S"), "Negado", "Aprovado"))))</f>
        <v>Inativo</v>
      </c>
      <c r="O9" s="5" t="str">
        <f>IF(A9="Inativo", "Inativo", IF(A9="", "Negado", IF(COUNTIF(C:C, C9)&gt;1, "Negado", IF(AND(I9&gt;50000, L9="S"), "Negado", "Aprovado"))))</f>
        <v>Inativo</v>
      </c>
      <c r="P9" s="2">
        <f>IF(OR(N9="Negado", O9="Negado", A9="", L9=""), 0, IF(A9="Ativo", M9*0.08, 0))</f>
        <v>0</v>
      </c>
    </row>
    <row r="10" spans="1:16">
      <c r="A10" s="5" t="s">
        <v>77</v>
      </c>
      <c r="B10" s="47" t="s">
        <v>531</v>
      </c>
      <c r="C10" s="47" t="s">
        <v>532</v>
      </c>
      <c r="D10" s="5">
        <v>58</v>
      </c>
      <c r="E10" s="8">
        <v>24872</v>
      </c>
      <c r="F10" t="s">
        <v>107</v>
      </c>
      <c r="G10" t="s">
        <v>108</v>
      </c>
      <c r="H10" s="9">
        <v>12500</v>
      </c>
      <c r="I10" s="9">
        <v>44500</v>
      </c>
      <c r="J10" s="5">
        <v>13</v>
      </c>
      <c r="K10" s="5" t="str">
        <f>IF(J10&lt;=10, "Baixo", IF(J10&lt;=25, "Médio", "Alto"))</f>
        <v>Médio</v>
      </c>
      <c r="L10" s="5" t="s">
        <v>874</v>
      </c>
      <c r="M10" s="2">
        <v>98500</v>
      </c>
      <c r="N10" s="5" t="str">
        <f>IF(A10="Inativo", "Inativo", IF(A10="", "Negado", IF(COUNTIF(C:C, C10)&gt;1, "Negado", IF(AND(K10="Alto", L10="S"), "Negado", "Aprovado"))))</f>
        <v>Inativo</v>
      </c>
      <c r="O10" s="5" t="str">
        <f>IF(A10="Inativo", "Inativo", IF(A10="", "Negado", IF(COUNTIF(C:C, C10)&gt;1, "Negado", IF(AND(I10&gt;50000, L10="S"), "Negado", "Aprovado"))))</f>
        <v>Inativo</v>
      </c>
      <c r="P10" s="2">
        <f>IF(OR(N10="Negado", O10="Negado", A10="", L10=""), 0, IF(A10="Ativo", M10*0.08, 0))</f>
        <v>0</v>
      </c>
    </row>
    <row r="11" spans="1:16">
      <c r="A11" s="5" t="s">
        <v>72</v>
      </c>
      <c r="B11" s="47" t="s">
        <v>622</v>
      </c>
      <c r="C11" s="47" t="s">
        <v>623</v>
      </c>
      <c r="D11" s="5">
        <v>34</v>
      </c>
      <c r="E11" s="8">
        <v>33746</v>
      </c>
      <c r="F11" t="s">
        <v>179</v>
      </c>
      <c r="G11" t="s">
        <v>179</v>
      </c>
      <c r="H11" s="9">
        <v>28900</v>
      </c>
      <c r="I11" s="9">
        <v>37000</v>
      </c>
      <c r="J11" s="5">
        <v>21</v>
      </c>
      <c r="K11" s="5" t="str">
        <f>IF(J11&lt;=10, "Baixo", IF(J11&lt;=25, "Médio", "Alto"))</f>
        <v>Médio</v>
      </c>
      <c r="L11" s="5" t="s">
        <v>874</v>
      </c>
      <c r="M11" s="2">
        <v>97500</v>
      </c>
      <c r="N11" s="5" t="str">
        <f>IF(A11="Inativo", "Inativo", IF(A11="", "Negado", IF(COUNTIF(C:C, C11)&gt;1, "Negado", IF(AND(K11="Alto", L11="S"), "Negado", "Aprovado"))))</f>
        <v>Aprovado</v>
      </c>
      <c r="O11" s="5" t="str">
        <f>IF(A11="Inativo", "Inativo", IF(A11="", "Negado", IF(COUNTIF(C:C, C11)&gt;1, "Negado", IF(AND(I11&gt;50000, L11="S"), "Negado", "Aprovado"))))</f>
        <v>Aprovado</v>
      </c>
      <c r="P11" s="2">
        <f>IF(OR(N11="Negado", O11="Negado", A11="", L11=""), 0, IF(A11="Ativo", M11*0.08, 0))</f>
        <v>7800</v>
      </c>
    </row>
    <row r="12" spans="1:16">
      <c r="A12" s="5" t="s">
        <v>72</v>
      </c>
      <c r="B12" s="47" t="s">
        <v>435</v>
      </c>
      <c r="C12" s="47" t="s">
        <v>436</v>
      </c>
      <c r="D12" s="5">
        <v>58</v>
      </c>
      <c r="E12" s="8">
        <v>25066</v>
      </c>
      <c r="F12" t="s">
        <v>168</v>
      </c>
      <c r="G12" t="s">
        <v>144</v>
      </c>
      <c r="H12" s="9">
        <v>4500</v>
      </c>
      <c r="I12" s="9">
        <v>0</v>
      </c>
      <c r="J12" s="5">
        <v>31</v>
      </c>
      <c r="K12" s="5" t="str">
        <f>IF(J12&lt;=10, "Baixo", IF(J12&lt;=25, "Médio", "Alto"))</f>
        <v>Alto</v>
      </c>
      <c r="L12" s="5" t="s">
        <v>876</v>
      </c>
      <c r="M12" s="2">
        <v>97500</v>
      </c>
      <c r="N12" s="5" t="str">
        <f>IF(A12="Inativo", "Inativo", IF(A12="", "Negado", IF(COUNTIF(C:C, C12)&gt;1, "Negado", IF(AND(K12="Alto", L12="S"), "Negado", "Aprovado"))))</f>
        <v>Negado</v>
      </c>
      <c r="O12" s="5" t="str">
        <f>IF(A12="Inativo", "Inativo", IF(A12="", "Negado", IF(COUNTIF(C:C, C12)&gt;1, "Negado", IF(AND(I12&gt;50000, L12="S"), "Negado", "Aprovado"))))</f>
        <v>Aprovado</v>
      </c>
      <c r="P12" s="2">
        <f>IF(OR(N12="Negado", O12="Negado", A12="", L12=""), 0, IF(A12="Ativo", M12*0.08, 0))</f>
        <v>0</v>
      </c>
    </row>
    <row r="13" spans="1:16">
      <c r="A13" s="5" t="s">
        <v>77</v>
      </c>
      <c r="B13" s="47" t="s">
        <v>626</v>
      </c>
      <c r="C13" s="47" t="s">
        <v>627</v>
      </c>
      <c r="D13" s="5">
        <v>67</v>
      </c>
      <c r="E13" s="8">
        <v>21674</v>
      </c>
      <c r="F13" t="s">
        <v>240</v>
      </c>
      <c r="G13" t="s">
        <v>453</v>
      </c>
      <c r="H13" s="9">
        <v>15200</v>
      </c>
      <c r="I13" s="9">
        <v>67500</v>
      </c>
      <c r="J13" s="5">
        <v>12</v>
      </c>
      <c r="K13" s="5" t="str">
        <f>IF(J13&lt;=10, "Baixo", IF(J13&lt;=25, "Médio", "Alto"))</f>
        <v>Médio</v>
      </c>
      <c r="L13" s="5" t="s">
        <v>874</v>
      </c>
      <c r="M13" s="2">
        <v>97500</v>
      </c>
      <c r="N13" s="5" t="str">
        <f>IF(A13="Inativo", "Inativo", IF(A13="", "Negado", IF(COUNTIF(C:C, C13)&gt;1, "Negado", IF(AND(K13="Alto", L13="S"), "Negado", "Aprovado"))))</f>
        <v>Inativo</v>
      </c>
      <c r="O13" s="5" t="str">
        <f>IF(A13="Inativo", "Inativo", IF(A13="", "Negado", IF(COUNTIF(C:C, C13)&gt;1, "Negado", IF(AND(I13&gt;50000, L13="S"), "Negado", "Aprovado"))))</f>
        <v>Inativo</v>
      </c>
      <c r="P13" s="2">
        <f>IF(OR(N13="Negado", O13="Negado", A13="", L13=""), 0, IF(A13="Ativo", M13*0.08, 0))</f>
        <v>0</v>
      </c>
    </row>
    <row r="14" spans="1:16">
      <c r="A14" s="5" t="s">
        <v>72</v>
      </c>
      <c r="B14" s="47" t="s">
        <v>214</v>
      </c>
      <c r="C14" s="47" t="s">
        <v>879</v>
      </c>
      <c r="D14" s="5">
        <v>25</v>
      </c>
      <c r="E14" s="8">
        <v>37125</v>
      </c>
      <c r="F14" t="s">
        <v>179</v>
      </c>
      <c r="G14" t="s">
        <v>179</v>
      </c>
      <c r="H14" s="9">
        <v>2500</v>
      </c>
      <c r="I14" s="9">
        <v>72500</v>
      </c>
      <c r="J14" s="5">
        <v>32</v>
      </c>
      <c r="K14" s="5" t="str">
        <f>IF(J14&lt;=10, "Baixo", IF(J14&lt;=25, "Médio", "Alto"))</f>
        <v>Alto</v>
      </c>
      <c r="L14" s="5" t="s">
        <v>874</v>
      </c>
      <c r="M14" s="2">
        <v>97000</v>
      </c>
      <c r="N14" s="5" t="str">
        <f>IF(A14="Inativo", "Inativo", IF(A14="", "Negado", IF(COUNTIF(C:C, C14)&gt;1, "Negado", IF(AND(K14="Alto", L14="S"), "Negado", "Aprovado"))))</f>
        <v>Aprovado</v>
      </c>
      <c r="O14" s="5" t="str">
        <f>IF(A14="Inativo", "Inativo", IF(A14="", "Negado", IF(COUNTIF(C:C, C14)&gt;1, "Negado", IF(AND(I14&gt;50000, L14="S"), "Negado", "Aprovado"))))</f>
        <v>Aprovado</v>
      </c>
      <c r="P14" s="2">
        <f>IF(OR(N14="Negado", O14="Negado", A14="", L14=""), 0, IF(A14="Ativo", M14*0.08, 0))</f>
        <v>7760</v>
      </c>
    </row>
    <row r="15" spans="1:16">
      <c r="A15" s="5" t="s">
        <v>72</v>
      </c>
      <c r="B15" s="47" t="s">
        <v>653</v>
      </c>
      <c r="C15" s="47" t="s">
        <v>654</v>
      </c>
      <c r="D15" s="5">
        <v>57</v>
      </c>
      <c r="E15" s="8">
        <v>25350</v>
      </c>
      <c r="F15" t="s">
        <v>164</v>
      </c>
      <c r="G15" t="s">
        <v>134</v>
      </c>
      <c r="H15" s="9">
        <v>20600</v>
      </c>
      <c r="I15" s="9">
        <v>52500</v>
      </c>
      <c r="J15" s="5">
        <v>16</v>
      </c>
      <c r="K15" s="5" t="str">
        <f>IF(J15&lt;=10, "Baixo", IF(J15&lt;=25, "Médio", "Alto"))</f>
        <v>Médio</v>
      </c>
      <c r="M15" s="2">
        <v>97000</v>
      </c>
      <c r="N15" s="5" t="str">
        <f>IF(A15="Inativo", "Inativo", IF(A15="", "Negado", IF(COUNTIF(C:C, C15)&gt;1, "Negado", IF(AND(K15="Alto", L15="S"), "Negado", "Aprovado"))))</f>
        <v>Aprovado</v>
      </c>
      <c r="O15" s="5" t="str">
        <f>IF(A15="Inativo", "Inativo", IF(A15="", "Negado", IF(COUNTIF(C:C, C15)&gt;1, "Negado", IF(AND(I15&gt;50000, L15="S"), "Negado", "Aprovado"))))</f>
        <v>Aprovado</v>
      </c>
      <c r="P15" s="2">
        <f>IF(OR(N15="Negado", O15="Negado", A15="", L15=""), 0, IF(A15="Ativo", M15*0.08, 0))</f>
        <v>0</v>
      </c>
    </row>
    <row r="16" spans="1:16">
      <c r="A16" s="5" t="s">
        <v>77</v>
      </c>
      <c r="B16" s="47" t="s">
        <v>362</v>
      </c>
      <c r="C16" s="47" t="s">
        <v>363</v>
      </c>
      <c r="D16" s="5">
        <v>63</v>
      </c>
      <c r="E16" s="8">
        <v>23084</v>
      </c>
      <c r="F16" t="s">
        <v>143</v>
      </c>
      <c r="G16" t="s">
        <v>144</v>
      </c>
      <c r="H16" s="9">
        <v>17300</v>
      </c>
      <c r="I16" s="9">
        <v>22000</v>
      </c>
      <c r="J16" s="5">
        <v>10</v>
      </c>
      <c r="K16" s="5" t="str">
        <f>IF(J16&lt;=10, "Baixo", IF(J16&lt;=25, "Médio", "Alto"))</f>
        <v>Baixo</v>
      </c>
      <c r="L16" s="5" t="s">
        <v>874</v>
      </c>
      <c r="M16" s="2">
        <v>97000</v>
      </c>
      <c r="N16" s="5" t="str">
        <f>IF(A16="Inativo", "Inativo", IF(A16="", "Negado", IF(COUNTIF(C:C, C16)&gt;1, "Negado", IF(AND(K16="Alto", L16="S"), "Negado", "Aprovado"))))</f>
        <v>Inativo</v>
      </c>
      <c r="O16" s="5" t="str">
        <f>IF(A16="Inativo", "Inativo", IF(A16="", "Negado", IF(COUNTIF(C:C, C16)&gt;1, "Negado", IF(AND(I16&gt;50000, L16="S"), "Negado", "Aprovado"))))</f>
        <v>Inativo</v>
      </c>
      <c r="P16" s="2">
        <f>IF(OR(N16="Negado", O16="Negado", A16="", L16=""), 0, IF(A16="Ativo", M16*0.08, 0))</f>
        <v>0</v>
      </c>
    </row>
    <row r="17" spans="1:16">
      <c r="A17" s="5" t="s">
        <v>72</v>
      </c>
      <c r="B17" s="47" t="s">
        <v>314</v>
      </c>
      <c r="C17" s="47" t="s">
        <v>315</v>
      </c>
      <c r="D17" s="5">
        <v>24</v>
      </c>
      <c r="E17" s="8">
        <v>37491</v>
      </c>
      <c r="F17" t="s">
        <v>179</v>
      </c>
      <c r="G17" t="s">
        <v>179</v>
      </c>
      <c r="H17" s="9">
        <v>8900</v>
      </c>
      <c r="I17" s="9">
        <v>19500</v>
      </c>
      <c r="J17" s="5">
        <v>33</v>
      </c>
      <c r="K17" s="5" t="str">
        <f>IF(J17&lt;=10, "Baixo", IF(J17&lt;=25, "Médio", "Alto"))</f>
        <v>Alto</v>
      </c>
      <c r="L17" s="5" t="s">
        <v>876</v>
      </c>
      <c r="M17" s="2">
        <v>96500</v>
      </c>
      <c r="N17" s="5" t="str">
        <f>IF(A17="Inativo", "Inativo", IF(A17="", "Negado", IF(COUNTIF(C:C, C17)&gt;1, "Negado", IF(AND(K17="Alto", L17="S"), "Negado", "Aprovado"))))</f>
        <v>Negado</v>
      </c>
      <c r="O17" s="5" t="str">
        <f>IF(A17="Inativo", "Inativo", IF(A17="", "Negado", IF(COUNTIF(C:C, C17)&gt;1, "Negado", IF(AND(I17&gt;50000, L17="S"), "Negado", "Aprovado"))))</f>
        <v>Aprovado</v>
      </c>
      <c r="P17" s="2">
        <f>IF(OR(N17="Negado", O17="Negado", A17="", L17=""), 0, IF(A17="Ativo", M17*0.08, 0))</f>
        <v>0</v>
      </c>
    </row>
    <row r="18" spans="1:16">
      <c r="A18" s="5" t="s">
        <v>72</v>
      </c>
      <c r="B18" s="47" t="s">
        <v>472</v>
      </c>
      <c r="C18" s="47" t="s">
        <v>473</v>
      </c>
      <c r="D18" s="5">
        <v>56</v>
      </c>
      <c r="E18" s="8">
        <v>25808</v>
      </c>
      <c r="F18" t="s">
        <v>143</v>
      </c>
      <c r="G18" t="s">
        <v>144</v>
      </c>
      <c r="H18" s="9">
        <v>5400</v>
      </c>
      <c r="I18" s="9">
        <v>61000</v>
      </c>
      <c r="J18" s="5">
        <v>12</v>
      </c>
      <c r="K18" s="5" t="str">
        <f>IF(J18&lt;=10, "Baixo", IF(J18&lt;=25, "Médio", "Alto"))</f>
        <v>Médio</v>
      </c>
      <c r="L18" s="5" t="s">
        <v>874</v>
      </c>
      <c r="M18" s="2">
        <v>96500</v>
      </c>
      <c r="N18" s="5" t="str">
        <f>IF(A18="Inativo", "Inativo", IF(A18="", "Negado", IF(COUNTIF(C:C, C18)&gt;1, "Negado", IF(AND(K18="Alto", L18="S"), "Negado", "Aprovado"))))</f>
        <v>Aprovado</v>
      </c>
      <c r="O18" s="5" t="str">
        <f>IF(A18="Inativo", "Inativo", IF(A18="", "Negado", IF(COUNTIF(C:C, C18)&gt;1, "Negado", IF(AND(I18&gt;50000, L18="S"), "Negado", "Aprovado"))))</f>
        <v>Aprovado</v>
      </c>
      <c r="P18" s="2">
        <f>IF(OR(N18="Negado", O18="Negado", A18="", L18=""), 0, IF(A18="Ativo", M18*0.08, 0))</f>
        <v>7720</v>
      </c>
    </row>
    <row r="19" spans="1:16">
      <c r="A19" s="5" t="s">
        <v>77</v>
      </c>
      <c r="B19" s="47" t="s">
        <v>129</v>
      </c>
      <c r="C19" s="47" t="s">
        <v>880</v>
      </c>
      <c r="D19" s="5">
        <v>55</v>
      </c>
      <c r="E19" s="8">
        <v>25892</v>
      </c>
      <c r="F19" t="s">
        <v>79</v>
      </c>
      <c r="G19" t="s">
        <v>301</v>
      </c>
      <c r="H19" s="9">
        <v>5300</v>
      </c>
      <c r="I19" s="9">
        <v>6500</v>
      </c>
      <c r="J19" s="5">
        <v>42</v>
      </c>
      <c r="K19" s="5" t="str">
        <f>IF(J19&lt;=10, "Baixo", IF(J19&lt;=25, "Médio", "Alto"))</f>
        <v>Alto</v>
      </c>
      <c r="L19" s="5" t="s">
        <v>874</v>
      </c>
      <c r="M19" s="2">
        <v>96000</v>
      </c>
      <c r="N19" s="5" t="str">
        <f>IF(A19="Inativo", "Inativo", IF(A19="", "Negado", IF(COUNTIF(C:C, C19)&gt;1, "Negado", IF(AND(K19="Alto", L19="S"), "Negado", "Aprovado"))))</f>
        <v>Inativo</v>
      </c>
      <c r="O19" s="5" t="str">
        <f>IF(A19="Inativo", "Inativo", IF(A19="", "Negado", IF(COUNTIF(C:C, C19)&gt;1, "Negado", IF(AND(I19&gt;50000, L19="S"), "Negado", "Aprovado"))))</f>
        <v>Inativo</v>
      </c>
      <c r="P19" s="2">
        <f>IF(OR(N19="Negado", O19="Negado", A19="", L19=""), 0, IF(A19="Ativo", M19*0.08, 0))</f>
        <v>0</v>
      </c>
    </row>
    <row r="20" spans="1:16">
      <c r="A20" s="5" t="s">
        <v>72</v>
      </c>
      <c r="B20" s="47" t="s">
        <v>881</v>
      </c>
      <c r="C20" s="47" t="s">
        <v>387</v>
      </c>
      <c r="D20" s="5">
        <v>26</v>
      </c>
      <c r="E20" s="8">
        <v>36622</v>
      </c>
      <c r="F20" t="s">
        <v>179</v>
      </c>
      <c r="G20" t="s">
        <v>179</v>
      </c>
      <c r="H20" s="9">
        <v>22900</v>
      </c>
      <c r="I20" s="9">
        <v>65500</v>
      </c>
      <c r="J20" s="5">
        <v>40</v>
      </c>
      <c r="K20" s="5" t="str">
        <f>IF(J20&lt;=10, "Baixo", IF(J20&lt;=25, "Médio", "Alto"))</f>
        <v>Alto</v>
      </c>
      <c r="L20" s="5" t="s">
        <v>876</v>
      </c>
      <c r="M20" s="2">
        <v>95500</v>
      </c>
      <c r="N20" s="5" t="str">
        <f>IF(A20="Inativo", "Inativo", IF(A20="", "Negado", IF(COUNTIF(C:C, C20)&gt;1, "Negado", IF(AND(K20="Alto", L20="S"), "Negado", "Aprovado"))))</f>
        <v>Negado</v>
      </c>
      <c r="O20" s="5" t="str">
        <f>IF(A20="Inativo", "Inativo", IF(A20="", "Negado", IF(COUNTIF(C:C, C20)&gt;1, "Negado", IF(AND(I20&gt;50000, L20="S"), "Negado", "Aprovado"))))</f>
        <v>Negado</v>
      </c>
      <c r="P20" s="2">
        <f>IF(OR(N20="Negado", O20="Negado", A20="", L20=""), 0, IF(A20="Ativo", M20*0.08, 0))</f>
        <v>0</v>
      </c>
    </row>
    <row r="21" spans="1:16">
      <c r="A21" s="5" t="s">
        <v>72</v>
      </c>
      <c r="B21" s="47" t="s">
        <v>521</v>
      </c>
      <c r="C21" s="47" t="s">
        <v>522</v>
      </c>
      <c r="D21" s="5">
        <v>37</v>
      </c>
      <c r="E21" s="8">
        <v>32414</v>
      </c>
      <c r="F21" t="s">
        <v>84</v>
      </c>
      <c r="G21" s="1" t="s">
        <v>411</v>
      </c>
      <c r="H21" s="9">
        <v>12800</v>
      </c>
      <c r="I21" s="9">
        <v>76500</v>
      </c>
      <c r="J21" s="5">
        <v>30</v>
      </c>
      <c r="K21" s="5" t="str">
        <f>IF(J21&lt;=10, "Baixo", IF(J21&lt;=25, "Médio", "Alto"))</f>
        <v>Alto</v>
      </c>
      <c r="L21" s="5" t="s">
        <v>874</v>
      </c>
      <c r="M21" s="2">
        <v>95000</v>
      </c>
      <c r="N21" s="5" t="str">
        <f>IF(A21="Inativo", "Inativo", IF(A21="", "Negado", IF(COUNTIF(C:C, C21)&gt;1, "Negado", IF(AND(K21="Alto", L21="S"), "Negado", "Aprovado"))))</f>
        <v>Negado</v>
      </c>
      <c r="O21" s="5" t="str">
        <f>IF(A21="Inativo", "Inativo", IF(A21="", "Negado", IF(COUNTIF(C:C, C21)&gt;1, "Negado", IF(AND(I21&gt;50000, L21="S"), "Negado", "Aprovado"))))</f>
        <v>Negado</v>
      </c>
      <c r="P21" s="2">
        <f>IF(OR(N21="Negado", O21="Negado", A21="", L21=""), 0, IF(A21="Ativo", M21*0.08, 0))</f>
        <v>0</v>
      </c>
    </row>
    <row r="22" spans="1:16">
      <c r="A22" s="5" t="s">
        <v>72</v>
      </c>
      <c r="B22" s="47" t="s">
        <v>504</v>
      </c>
      <c r="C22" s="47" t="s">
        <v>505</v>
      </c>
      <c r="D22" s="5">
        <v>45</v>
      </c>
      <c r="E22" s="8">
        <v>29769</v>
      </c>
      <c r="F22" t="s">
        <v>79</v>
      </c>
      <c r="G22" t="s">
        <v>301</v>
      </c>
      <c r="H22" s="9">
        <v>24400</v>
      </c>
      <c r="I22" s="9">
        <v>7500</v>
      </c>
      <c r="J22" s="5">
        <v>13</v>
      </c>
      <c r="K22" s="5" t="str">
        <f>IF(J22&lt;=10, "Baixo", IF(J22&lt;=25, "Médio", "Alto"))</f>
        <v>Médio</v>
      </c>
      <c r="L22" s="5" t="s">
        <v>874</v>
      </c>
      <c r="M22" s="2">
        <v>95000</v>
      </c>
      <c r="N22" s="5" t="str">
        <f>IF(A22="Inativo", "Inativo", IF(A22="", "Negado", IF(COUNTIF(C:C, C22)&gt;1, "Negado", IF(AND(K22="Alto", L22="S"), "Negado", "Aprovado"))))</f>
        <v>Aprovado</v>
      </c>
      <c r="O22" s="5" t="str">
        <f>IF(A22="Inativo", "Inativo", IF(A22="", "Negado", IF(COUNTIF(C:C, C22)&gt;1, "Negado", IF(AND(I22&gt;50000, L22="S"), "Negado", "Aprovado"))))</f>
        <v>Aprovado</v>
      </c>
      <c r="P22" s="2">
        <f>IF(OR(N22="Negado", O22="Negado", A22="", L22=""), 0, IF(A22="Ativo", M22*0.08, 0))</f>
        <v>7600</v>
      </c>
    </row>
    <row r="23" spans="1:16">
      <c r="A23" s="5" t="s">
        <v>72</v>
      </c>
      <c r="B23" s="47" t="s">
        <v>437</v>
      </c>
      <c r="C23" s="47" t="s">
        <v>882</v>
      </c>
      <c r="D23" s="5">
        <v>33</v>
      </c>
      <c r="E23" s="8">
        <v>34021</v>
      </c>
      <c r="F23" t="s">
        <v>79</v>
      </c>
      <c r="G23" t="s">
        <v>301</v>
      </c>
      <c r="H23" s="9">
        <v>0</v>
      </c>
      <c r="I23" s="9">
        <v>73500</v>
      </c>
      <c r="J23" s="5">
        <v>33</v>
      </c>
      <c r="K23" s="5" t="str">
        <f>IF(J23&lt;=10, "Baixo", IF(J23&lt;=25, "Médio", "Alto"))</f>
        <v>Alto</v>
      </c>
      <c r="L23" s="5" t="s">
        <v>874</v>
      </c>
      <c r="M23" s="2">
        <v>95000</v>
      </c>
      <c r="N23" s="5" t="str">
        <f>IF(A23="Inativo", "Inativo", IF(A23="", "Negado", IF(COUNTIF(C:C, C23)&gt;1, "Negado", IF(AND(K23="Alto", L23="S"), "Negado", "Aprovado"))))</f>
        <v>Aprovado</v>
      </c>
      <c r="O23" s="5" t="str">
        <f>IF(A23="Inativo", "Inativo", IF(A23="", "Negado", IF(COUNTIF(C:C, C23)&gt;1, "Negado", IF(AND(I23&gt;50000, L23="S"), "Negado", "Aprovado"))))</f>
        <v>Aprovado</v>
      </c>
      <c r="P23" s="2">
        <f>IF(OR(N23="Negado", O23="Negado", A23="", L23=""), 0, IF(A23="Ativo", M23*0.08, 0))</f>
        <v>7600</v>
      </c>
    </row>
    <row r="24" spans="1:16">
      <c r="A24" s="5" t="s">
        <v>72</v>
      </c>
      <c r="B24" s="47" t="s">
        <v>651</v>
      </c>
      <c r="C24" s="47" t="s">
        <v>652</v>
      </c>
      <c r="D24" s="5">
        <v>65</v>
      </c>
      <c r="E24" s="8">
        <v>22297</v>
      </c>
      <c r="F24" t="s">
        <v>98</v>
      </c>
      <c r="G24" t="s">
        <v>103</v>
      </c>
      <c r="H24" s="9">
        <v>27300</v>
      </c>
      <c r="I24" s="9">
        <v>48500</v>
      </c>
      <c r="J24" s="5">
        <v>29</v>
      </c>
      <c r="K24" s="5" t="str">
        <f>IF(J24&lt;=10, "Baixo", IF(J24&lt;=25, "Médio", "Alto"))</f>
        <v>Alto</v>
      </c>
      <c r="L24" s="5" t="s">
        <v>874</v>
      </c>
      <c r="M24" s="2">
        <v>94000</v>
      </c>
      <c r="N24" s="5" t="str">
        <f>IF(A24="Inativo", "Inativo", IF(A24="", "Negado", IF(COUNTIF(C:C, C24)&gt;1, "Negado", IF(AND(K24="Alto", L24="S"), "Negado", "Aprovado"))))</f>
        <v>Aprovado</v>
      </c>
      <c r="O24" s="5" t="str">
        <f>IF(A24="Inativo", "Inativo", IF(A24="", "Negado", IF(COUNTIF(C:C, C24)&gt;1, "Negado", IF(AND(I24&gt;50000, L24="S"), "Negado", "Aprovado"))))</f>
        <v>Aprovado</v>
      </c>
      <c r="P24" s="2">
        <f>IF(OR(N24="Negado", O24="Negado", A24="", L24=""), 0, IF(A24="Ativo", M24*0.08, 0))</f>
        <v>7520</v>
      </c>
    </row>
    <row r="25" spans="1:16">
      <c r="A25" s="5" t="s">
        <v>72</v>
      </c>
      <c r="B25" s="47" t="s">
        <v>563</v>
      </c>
      <c r="C25" s="47" t="s">
        <v>564</v>
      </c>
      <c r="D25" s="5">
        <v>39</v>
      </c>
      <c r="E25" s="8">
        <v>31972</v>
      </c>
      <c r="F25" t="s">
        <v>133</v>
      </c>
      <c r="G25" t="s">
        <v>134</v>
      </c>
      <c r="H25" s="9">
        <v>8700</v>
      </c>
      <c r="I25" s="9">
        <v>4500</v>
      </c>
      <c r="J25" s="5">
        <v>16</v>
      </c>
      <c r="K25" s="5" t="str">
        <f>IF(J25&lt;=10, "Baixo", IF(J25&lt;=25, "Médio", "Alto"))</f>
        <v>Médio</v>
      </c>
      <c r="L25" s="5" t="s">
        <v>874</v>
      </c>
      <c r="M25" s="2">
        <v>93500</v>
      </c>
      <c r="N25" s="5" t="str">
        <f>IF(A25="Inativo", "Inativo", IF(A25="", "Negado", IF(COUNTIF(C:C, C25)&gt;1, "Negado", IF(AND(K25="Alto", L25="S"), "Negado", "Aprovado"))))</f>
        <v>Aprovado</v>
      </c>
      <c r="O25" s="5" t="str">
        <f>IF(A25="Inativo", "Inativo", IF(A25="", "Negado", IF(COUNTIF(C:C, C25)&gt;1, "Negado", IF(AND(I25&gt;50000, L25="S"), "Negado", "Aprovado"))))</f>
        <v>Aprovado</v>
      </c>
      <c r="P25" s="2">
        <f>IF(OR(N25="Negado", O25="Negado", A25="", L25=""), 0, IF(A25="Ativo", M25*0.08, 0))</f>
        <v>7480</v>
      </c>
    </row>
    <row r="26" spans="1:16">
      <c r="A26" s="5" t="s">
        <v>72</v>
      </c>
      <c r="B26" s="47" t="s">
        <v>295</v>
      </c>
      <c r="C26" s="47" t="s">
        <v>296</v>
      </c>
      <c r="D26" s="5">
        <v>53</v>
      </c>
      <c r="E26" s="8">
        <v>26812</v>
      </c>
      <c r="F26" t="s">
        <v>116</v>
      </c>
      <c r="G26" t="s">
        <v>117</v>
      </c>
      <c r="H26" s="9">
        <v>27800</v>
      </c>
      <c r="I26" s="9">
        <v>52000</v>
      </c>
      <c r="J26" s="5">
        <v>43</v>
      </c>
      <c r="K26" s="5" t="str">
        <f>IF(J26&lt;=10, "Baixo", IF(J26&lt;=25, "Médio", "Alto"))</f>
        <v>Alto</v>
      </c>
      <c r="L26" s="5" t="s">
        <v>874</v>
      </c>
      <c r="M26" s="2">
        <v>93500</v>
      </c>
      <c r="N26" s="5" t="str">
        <f>IF(A26="Inativo", "Inativo", IF(A26="", "Negado", IF(COUNTIF(C:C, C26)&gt;1, "Negado", IF(AND(K26="Alto", L26="S"), "Negado", "Aprovado"))))</f>
        <v>Aprovado</v>
      </c>
      <c r="O26" s="5" t="str">
        <f>IF(A26="Inativo", "Inativo", IF(A26="", "Negado", IF(COUNTIF(C:C, C26)&gt;1, "Negado", IF(AND(I26&gt;50000, L26="S"), "Negado", "Aprovado"))))</f>
        <v>Aprovado</v>
      </c>
      <c r="P26" s="2">
        <f>IF(OR(N26="Negado", O26="Negado", A26="", L26=""), 0, IF(A26="Ativo", M26*0.08, 0))</f>
        <v>7480</v>
      </c>
    </row>
    <row r="27" spans="1:16">
      <c r="A27" s="5" t="s">
        <v>77</v>
      </c>
      <c r="B27" s="47" t="s">
        <v>714</v>
      </c>
      <c r="C27" s="47" t="s">
        <v>883</v>
      </c>
      <c r="D27" s="5">
        <v>57</v>
      </c>
      <c r="E27" s="8">
        <v>25369</v>
      </c>
      <c r="F27" t="s">
        <v>122</v>
      </c>
      <c r="G27" t="s">
        <v>117</v>
      </c>
      <c r="H27" s="9">
        <v>28600</v>
      </c>
      <c r="I27" s="9">
        <v>73500</v>
      </c>
      <c r="J27" s="5">
        <v>29</v>
      </c>
      <c r="K27" s="5" t="str">
        <f>IF(J27&lt;=10, "Baixo", IF(J27&lt;=25, "Médio", "Alto"))</f>
        <v>Alto</v>
      </c>
      <c r="L27" s="5" t="s">
        <v>874</v>
      </c>
      <c r="M27" s="2">
        <v>93500</v>
      </c>
      <c r="N27" s="5" t="str">
        <f>IF(A27="Inativo", "Inativo", IF(A27="", "Negado", IF(COUNTIF(C:C, C27)&gt;1, "Negado", IF(AND(K27="Alto", L27="S"), "Negado", "Aprovado"))))</f>
        <v>Inativo</v>
      </c>
      <c r="O27" s="5" t="str">
        <f>IF(A27="Inativo", "Inativo", IF(A27="", "Negado", IF(COUNTIF(C:C, C27)&gt;1, "Negado", IF(AND(I27&gt;50000, L27="S"), "Negado", "Aprovado"))))</f>
        <v>Inativo</v>
      </c>
      <c r="P27" s="2">
        <f>IF(OR(N27="Negado", O27="Negado", A27="", L27=""), 0, IF(A27="Ativo", M27*0.08, 0))</f>
        <v>0</v>
      </c>
    </row>
    <row r="28" spans="1:16">
      <c r="A28" s="5" t="s">
        <v>72</v>
      </c>
      <c r="B28" s="47" t="s">
        <v>619</v>
      </c>
      <c r="C28" s="47" t="s">
        <v>620</v>
      </c>
      <c r="D28" s="5">
        <v>47</v>
      </c>
      <c r="E28" s="8">
        <v>28841</v>
      </c>
      <c r="F28" t="s">
        <v>179</v>
      </c>
      <c r="G28" t="s">
        <v>179</v>
      </c>
      <c r="H28" s="9">
        <v>21300</v>
      </c>
      <c r="I28" s="9">
        <v>62000</v>
      </c>
      <c r="J28" s="5">
        <v>37</v>
      </c>
      <c r="K28" s="5" t="str">
        <f>IF(J28&lt;=10, "Baixo", IF(J28&lt;=25, "Médio", "Alto"))</f>
        <v>Alto</v>
      </c>
      <c r="L28" s="5" t="s">
        <v>876</v>
      </c>
      <c r="M28" s="2">
        <v>92500</v>
      </c>
      <c r="N28" s="5" t="str">
        <f>IF(A28="Inativo", "Inativo", IF(A28="", "Negado", IF(COUNTIF(C:C, C28)&gt;1, "Negado", IF(AND(K28="Alto", L28="S"), "Negado", "Aprovado"))))</f>
        <v>Negado</v>
      </c>
      <c r="O28" s="5" t="str">
        <f>IF(A28="Inativo", "Inativo", IF(A28="", "Negado", IF(COUNTIF(C:C, C28)&gt;1, "Negado", IF(AND(I28&gt;50000, L28="S"), "Negado", "Aprovado"))))</f>
        <v>Negado</v>
      </c>
      <c r="P28" s="2">
        <f>IF(OR(N28="Negado", O28="Negado", A28="", L28=""), 0, IF(A28="Ativo", M28*0.08, 0))</f>
        <v>0</v>
      </c>
    </row>
    <row r="29" spans="1:16">
      <c r="A29" s="5" t="s">
        <v>72</v>
      </c>
      <c r="B29" s="47" t="s">
        <v>605</v>
      </c>
      <c r="C29" s="47" t="s">
        <v>606</v>
      </c>
      <c r="D29" s="5">
        <v>25</v>
      </c>
      <c r="E29" s="8">
        <v>37026</v>
      </c>
      <c r="F29" t="s">
        <v>300</v>
      </c>
      <c r="G29" t="s">
        <v>301</v>
      </c>
      <c r="H29" s="9">
        <v>28200</v>
      </c>
      <c r="I29" s="9">
        <v>0</v>
      </c>
      <c r="J29" s="5">
        <v>29</v>
      </c>
      <c r="K29" s="5" t="str">
        <f>IF(J29&lt;=10, "Baixo", IF(J29&lt;=25, "Médio", "Alto"))</f>
        <v>Alto</v>
      </c>
      <c r="L29" s="5" t="s">
        <v>874</v>
      </c>
      <c r="M29" s="2">
        <v>92500</v>
      </c>
      <c r="N29" s="5" t="str">
        <f>IF(A29="Inativo", "Inativo", IF(A29="", "Negado", IF(COUNTIF(C:C, C29)&gt;1, "Negado", IF(AND(K29="Alto", L29="S"), "Negado", "Aprovado"))))</f>
        <v>Aprovado</v>
      </c>
      <c r="O29" s="5" t="str">
        <f>IF(A29="Inativo", "Inativo", IF(A29="", "Negado", IF(COUNTIF(C:C, C29)&gt;1, "Negado", IF(AND(I29&gt;50000, L29="S"), "Negado", "Aprovado"))))</f>
        <v>Aprovado</v>
      </c>
      <c r="P29" s="2">
        <f>IF(OR(N29="Negado", O29="Negado", A29="", L29=""), 0, IF(A29="Ativo", M29*0.08, 0))</f>
        <v>7400</v>
      </c>
    </row>
    <row r="30" spans="1:16">
      <c r="A30" s="5" t="s">
        <v>72</v>
      </c>
      <c r="B30" s="47" t="s">
        <v>663</v>
      </c>
      <c r="C30" s="47" t="s">
        <v>664</v>
      </c>
      <c r="D30" s="5">
        <v>24</v>
      </c>
      <c r="E30" s="8">
        <v>37394</v>
      </c>
      <c r="F30" t="s">
        <v>98</v>
      </c>
      <c r="G30" s="1" t="s">
        <v>103</v>
      </c>
      <c r="H30" s="9">
        <v>14200</v>
      </c>
      <c r="I30" s="9">
        <v>71000</v>
      </c>
      <c r="J30" s="5">
        <v>10</v>
      </c>
      <c r="K30" s="5" t="str">
        <f>IF(J30&lt;=10, "Baixo", IF(J30&lt;=25, "Médio", "Alto"))</f>
        <v>Baixo</v>
      </c>
      <c r="L30" s="5" t="s">
        <v>874</v>
      </c>
      <c r="M30" s="2">
        <v>91500</v>
      </c>
      <c r="N30" s="5" t="str">
        <f>IF(A30="Inativo", "Inativo", IF(A30="", "Negado", IF(COUNTIF(C:C, C30)&gt;1, "Negado", IF(AND(K30="Alto", L30="S"), "Negado", "Aprovado"))))</f>
        <v>Aprovado</v>
      </c>
      <c r="O30" s="5" t="str">
        <f>IF(A30="Inativo", "Inativo", IF(A30="", "Negado", IF(COUNTIF(C:C, C30)&gt;1, "Negado", IF(AND(I30&gt;50000, L30="S"), "Negado", "Aprovado"))))</f>
        <v>Aprovado</v>
      </c>
      <c r="P30" s="2">
        <f>IF(OR(N30="Negado", O30="Negado", A30="", L30=""), 0, IF(A30="Ativo", M30*0.08, 0))</f>
        <v>7320</v>
      </c>
    </row>
    <row r="31" spans="1:16">
      <c r="A31" s="5" t="s">
        <v>72</v>
      </c>
      <c r="B31" s="47" t="s">
        <v>669</v>
      </c>
      <c r="C31" s="47" t="s">
        <v>670</v>
      </c>
      <c r="D31" s="5">
        <v>27</v>
      </c>
      <c r="E31" s="8">
        <v>36337</v>
      </c>
      <c r="F31" t="s">
        <v>165</v>
      </c>
      <c r="G31" t="s">
        <v>137</v>
      </c>
      <c r="H31" s="9">
        <v>22500</v>
      </c>
      <c r="I31" s="9">
        <v>55500</v>
      </c>
      <c r="J31" s="5">
        <v>32</v>
      </c>
      <c r="K31" s="5" t="str">
        <f>IF(J31&lt;=10, "Baixo", IF(J31&lt;=25, "Médio", "Alto"))</f>
        <v>Alto</v>
      </c>
      <c r="L31" s="5" t="s">
        <v>874</v>
      </c>
      <c r="M31" s="2">
        <v>91500</v>
      </c>
      <c r="N31" s="5" t="str">
        <f>IF(A31="Inativo", "Inativo", IF(A31="", "Negado", IF(COUNTIF(C:C, C31)&gt;1, "Negado", IF(AND(K31="Alto", L31="S"), "Negado", "Aprovado"))))</f>
        <v>Aprovado</v>
      </c>
      <c r="O31" s="5" t="str">
        <f>IF(A31="Inativo", "Inativo", IF(A31="", "Negado", IF(COUNTIF(C:C, C31)&gt;1, "Negado", IF(AND(I31&gt;50000, L31="S"), "Negado", "Aprovado"))))</f>
        <v>Aprovado</v>
      </c>
      <c r="P31" s="2">
        <f>IF(OR(N31="Negado", O31="Negado", A31="", L31=""), 0, IF(A31="Ativo", M31*0.08, 0))</f>
        <v>7320</v>
      </c>
    </row>
    <row r="32" spans="1:16">
      <c r="A32" s="5" t="s">
        <v>72</v>
      </c>
      <c r="B32" s="47" t="s">
        <v>824</v>
      </c>
      <c r="C32" s="47" t="s">
        <v>884</v>
      </c>
      <c r="D32" s="5">
        <v>70</v>
      </c>
      <c r="E32" s="8">
        <v>20681</v>
      </c>
      <c r="F32" t="s">
        <v>122</v>
      </c>
      <c r="G32" s="1" t="s">
        <v>117</v>
      </c>
      <c r="H32" s="9">
        <v>15800</v>
      </c>
      <c r="I32" s="9">
        <v>17500</v>
      </c>
      <c r="J32" s="5">
        <v>18</v>
      </c>
      <c r="K32" s="5" t="str">
        <f>IF(J32&lt;=10, "Baixo", IF(J32&lt;=25, "Médio", "Alto"))</f>
        <v>Médio</v>
      </c>
      <c r="L32" s="5" t="s">
        <v>874</v>
      </c>
      <c r="M32" s="2">
        <v>91000</v>
      </c>
      <c r="N32" s="5" t="str">
        <f>IF(A32="Inativo", "Inativo", IF(A32="", "Negado", IF(COUNTIF(C:C, C32)&gt;1, "Negado", IF(AND(K32="Alto", L32="S"), "Negado", "Aprovado"))))</f>
        <v>Aprovado</v>
      </c>
      <c r="O32" s="5" t="str">
        <f>IF(A32="Inativo", "Inativo", IF(A32="", "Negado", IF(COUNTIF(C:C, C32)&gt;1, "Negado", IF(AND(I32&gt;50000, L32="S"), "Negado", "Aprovado"))))</f>
        <v>Aprovado</v>
      </c>
      <c r="P32" s="2">
        <f>IF(OR(N32="Negado", O32="Negado", A32="", L32=""), 0, IF(A32="Ativo", M32*0.08, 0))</f>
        <v>7280</v>
      </c>
    </row>
    <row r="33" spans="1:16">
      <c r="A33" s="5" t="s">
        <v>77</v>
      </c>
      <c r="B33" s="47" t="s">
        <v>482</v>
      </c>
      <c r="C33" s="47" t="s">
        <v>483</v>
      </c>
      <c r="D33" s="5">
        <v>21</v>
      </c>
      <c r="E33" s="8">
        <v>38328</v>
      </c>
      <c r="F33" t="s">
        <v>107</v>
      </c>
      <c r="G33" t="s">
        <v>108</v>
      </c>
      <c r="H33" s="9">
        <v>4400</v>
      </c>
      <c r="I33" s="9">
        <v>23500</v>
      </c>
      <c r="J33" s="5">
        <v>31</v>
      </c>
      <c r="K33" s="5" t="str">
        <f>IF(J33&lt;=10, "Baixo", IF(J33&lt;=25, "Médio", "Alto"))</f>
        <v>Alto</v>
      </c>
      <c r="L33" s="5" t="s">
        <v>876</v>
      </c>
      <c r="M33" s="2">
        <v>91000</v>
      </c>
      <c r="N33" s="5" t="str">
        <f>IF(A33="Inativo", "Inativo", IF(A33="", "Negado", IF(COUNTIF(C:C, C33)&gt;1, "Negado", IF(AND(K33="Alto", L33="S"), "Negado", "Aprovado"))))</f>
        <v>Inativo</v>
      </c>
      <c r="O33" s="5" t="str">
        <f>IF(A33="Inativo", "Inativo", IF(A33="", "Negado", IF(COUNTIF(C:C, C33)&gt;1, "Negado", IF(AND(I33&gt;50000, L33="S"), "Negado", "Aprovado"))))</f>
        <v>Inativo</v>
      </c>
      <c r="P33" s="2">
        <f>IF(OR(N33="Negado", O33="Negado", A33="", L33=""), 0, IF(A33="Ativo", M33*0.08, 0))</f>
        <v>0</v>
      </c>
    </row>
    <row r="34" spans="1:16">
      <c r="A34" s="5" t="s">
        <v>72</v>
      </c>
      <c r="B34" s="47" t="s">
        <v>701</v>
      </c>
      <c r="C34" s="47" t="s">
        <v>702</v>
      </c>
      <c r="D34" s="5">
        <v>71</v>
      </c>
      <c r="E34" s="8">
        <v>20275</v>
      </c>
      <c r="F34" t="s">
        <v>98</v>
      </c>
      <c r="G34" t="s">
        <v>103</v>
      </c>
      <c r="H34" s="9">
        <v>14200</v>
      </c>
      <c r="I34" s="9">
        <v>51000</v>
      </c>
      <c r="J34" s="5">
        <v>10</v>
      </c>
      <c r="K34" s="5" t="str">
        <f>IF(J34&lt;=10, "Baixo", IF(J34&lt;=25, "Médio", "Alto"))</f>
        <v>Baixo</v>
      </c>
      <c r="L34" s="5" t="s">
        <v>874</v>
      </c>
      <c r="M34" s="2">
        <v>90500</v>
      </c>
      <c r="N34" s="5" t="str">
        <f>IF(A34="Inativo", "Inativo", IF(A34="", "Negado", IF(COUNTIF(C:C, C34)&gt;1, "Negado", IF(AND(K34="Alto", L34="S"), "Negado", "Aprovado"))))</f>
        <v>Aprovado</v>
      </c>
      <c r="O34" s="5" t="str">
        <f>IF(A34="Inativo", "Inativo", IF(A34="", "Negado", IF(COUNTIF(C:C, C34)&gt;1, "Negado", IF(AND(I34&gt;50000, L34="S"), "Negado", "Aprovado"))))</f>
        <v>Aprovado</v>
      </c>
      <c r="P34" s="2">
        <f>IF(OR(N34="Negado", O34="Negado", A34="", L34=""), 0, IF(A34="Ativo", M34*0.08, 0))</f>
        <v>7240</v>
      </c>
    </row>
    <row r="35" spans="1:16">
      <c r="A35" s="5" t="s">
        <v>77</v>
      </c>
      <c r="B35" s="47" t="s">
        <v>258</v>
      </c>
      <c r="C35" s="47" t="s">
        <v>259</v>
      </c>
      <c r="D35" s="5">
        <v>46</v>
      </c>
      <c r="E35" s="8">
        <v>29113</v>
      </c>
      <c r="F35" t="s">
        <v>157</v>
      </c>
      <c r="G35" t="s">
        <v>137</v>
      </c>
      <c r="H35" s="9">
        <v>15000</v>
      </c>
      <c r="I35" s="10">
        <v>32500</v>
      </c>
      <c r="J35" s="5">
        <v>40</v>
      </c>
      <c r="K35" s="5" t="str">
        <f>IF(J35&lt;=10, "Baixo", IF(J35&lt;=25, "Médio", "Alto"))</f>
        <v>Alto</v>
      </c>
      <c r="L35" s="5" t="s">
        <v>874</v>
      </c>
      <c r="M35" s="2">
        <v>90500</v>
      </c>
      <c r="N35" s="5" t="str">
        <f>IF(A35="Inativo", "Inativo", IF(A35="", "Negado", IF(COUNTIF(C:C, C35)&gt;1, "Negado", IF(AND(K35="Alto", L35="S"), "Negado", "Aprovado"))))</f>
        <v>Inativo</v>
      </c>
      <c r="O35" s="5" t="str">
        <f>IF(A35="Inativo", "Inativo", IF(A35="", "Negado", IF(COUNTIF(C:C, C35)&gt;1, "Negado", IF(AND(I35&gt;50000, L35="S"), "Negado", "Aprovado"))))</f>
        <v>Inativo</v>
      </c>
      <c r="P35" s="2">
        <f>IF(OR(N35="Negado", O35="Negado", A35="", L35=""), 0, IF(A35="Ativo", M35*0.08, 0))</f>
        <v>0</v>
      </c>
    </row>
    <row r="36" spans="1:16">
      <c r="A36" s="5" t="s">
        <v>72</v>
      </c>
      <c r="B36" s="47" t="s">
        <v>631</v>
      </c>
      <c r="C36" s="47" t="s">
        <v>632</v>
      </c>
      <c r="D36" s="5">
        <v>36</v>
      </c>
      <c r="E36" s="8">
        <v>32796</v>
      </c>
      <c r="F36" t="s">
        <v>84</v>
      </c>
      <c r="G36" t="s">
        <v>411</v>
      </c>
      <c r="H36" s="9">
        <v>28600</v>
      </c>
      <c r="I36" s="9">
        <v>0</v>
      </c>
      <c r="J36" s="5">
        <v>19</v>
      </c>
      <c r="K36" s="5" t="str">
        <f>IF(J36&lt;=10, "Baixo", IF(J36&lt;=25, "Médio", "Alto"))</f>
        <v>Médio</v>
      </c>
      <c r="L36" s="5" t="s">
        <v>874</v>
      </c>
      <c r="M36" s="2">
        <v>90000</v>
      </c>
      <c r="N36" s="5" t="str">
        <f>IF(A36="Inativo", "Inativo", IF(A36="", "Negado", IF(COUNTIF(C:C, C36)&gt;1, "Negado", IF(AND(K36="Alto", L36="S"), "Negado", "Aprovado"))))</f>
        <v>Aprovado</v>
      </c>
      <c r="O36" s="5" t="str">
        <f>IF(A36="Inativo", "Inativo", IF(A36="", "Negado", IF(COUNTIF(C:C, C36)&gt;1, "Negado", IF(AND(I36&gt;50000, L36="S"), "Negado", "Aprovado"))))</f>
        <v>Aprovado</v>
      </c>
      <c r="P36" s="2">
        <f>IF(OR(N36="Negado", O36="Negado", A36="", L36=""), 0, IF(A36="Ativo", M36*0.08, 0))</f>
        <v>7200</v>
      </c>
    </row>
    <row r="37" spans="1:16">
      <c r="A37" s="5" t="s">
        <v>72</v>
      </c>
      <c r="B37" s="47" t="s">
        <v>524</v>
      </c>
      <c r="C37" s="47" t="s">
        <v>885</v>
      </c>
      <c r="D37" s="5">
        <v>18</v>
      </c>
      <c r="E37" s="8">
        <v>39342</v>
      </c>
      <c r="F37" t="s">
        <v>143</v>
      </c>
      <c r="G37" t="s">
        <v>144</v>
      </c>
      <c r="H37" s="9">
        <v>28900</v>
      </c>
      <c r="I37" s="9">
        <v>22000</v>
      </c>
      <c r="J37" s="5">
        <v>23</v>
      </c>
      <c r="K37" s="5" t="str">
        <f>IF(J37&lt;=10, "Baixo", IF(J37&lt;=25, "Médio", "Alto"))</f>
        <v>Médio</v>
      </c>
      <c r="L37" s="5" t="s">
        <v>874</v>
      </c>
      <c r="M37" s="2">
        <v>90000</v>
      </c>
      <c r="N37" s="5" t="str">
        <f>IF(A37="Inativo", "Inativo", IF(A37="", "Negado", IF(COUNTIF(C:C, C37)&gt;1, "Negado", IF(AND(K37="Alto", L37="S"), "Negado", "Aprovado"))))</f>
        <v>Aprovado</v>
      </c>
      <c r="O37" s="5" t="str">
        <f>IF(A37="Inativo", "Inativo", IF(A37="", "Negado", IF(COUNTIF(C:C, C37)&gt;1, "Negado", IF(AND(I37&gt;50000, L37="S"), "Negado", "Aprovado"))))</f>
        <v>Aprovado</v>
      </c>
      <c r="P37" s="2">
        <f>IF(OR(N37="Negado", O37="Negado", A37="", L37=""), 0, IF(A37="Ativo", M37*0.08, 0))</f>
        <v>7200</v>
      </c>
    </row>
    <row r="38" spans="1:16">
      <c r="A38" s="5" t="s">
        <v>72</v>
      </c>
      <c r="B38" s="47" t="s">
        <v>178</v>
      </c>
      <c r="C38" s="47" t="s">
        <v>886</v>
      </c>
      <c r="D38" s="5">
        <v>42</v>
      </c>
      <c r="E38" s="8">
        <v>30642</v>
      </c>
      <c r="F38" t="s">
        <v>179</v>
      </c>
      <c r="G38" t="s">
        <v>179</v>
      </c>
      <c r="H38" s="9">
        <v>0</v>
      </c>
      <c r="I38" s="9">
        <v>19500</v>
      </c>
      <c r="J38" s="5">
        <v>42</v>
      </c>
      <c r="K38" s="5" t="str">
        <f>IF(J38&lt;=10, "Baixo", IF(J38&lt;=25, "Médio", "Alto"))</f>
        <v>Alto</v>
      </c>
      <c r="L38" s="5" t="s">
        <v>874</v>
      </c>
      <c r="M38" s="2">
        <v>89500</v>
      </c>
      <c r="N38" s="5" t="str">
        <f>IF(A38="Inativo", "Inativo", IF(A38="", "Negado", IF(COUNTIF(C:C, C38)&gt;1, "Negado", IF(AND(K38="Alto", L38="S"), "Negado", "Aprovado"))))</f>
        <v>Aprovado</v>
      </c>
      <c r="O38" s="5" t="str">
        <f>IF(A38="Inativo", "Inativo", IF(A38="", "Negado", IF(COUNTIF(C:C, C38)&gt;1, "Negado", IF(AND(I38&gt;50000, L38="S"), "Negado", "Aprovado"))))</f>
        <v>Aprovado</v>
      </c>
      <c r="P38" s="2">
        <f>IF(OR(N38="Negado", O38="Negado", A38="", L38=""), 0, IF(A38="Ativo", M38*0.08, 0))</f>
        <v>7160</v>
      </c>
    </row>
    <row r="39" spans="1:16">
      <c r="A39" s="5" t="s">
        <v>72</v>
      </c>
      <c r="B39" s="47" t="s">
        <v>297</v>
      </c>
      <c r="C39" s="47" t="s">
        <v>298</v>
      </c>
      <c r="D39" s="5">
        <v>40</v>
      </c>
      <c r="E39" s="8">
        <v>31647</v>
      </c>
      <c r="F39" t="s">
        <v>157</v>
      </c>
      <c r="G39" t="s">
        <v>137</v>
      </c>
      <c r="H39" s="9">
        <v>18700</v>
      </c>
      <c r="I39" s="9">
        <v>15000</v>
      </c>
      <c r="J39" s="5">
        <v>26</v>
      </c>
      <c r="K39" s="5" t="str">
        <f>IF(J39&lt;=10, "Baixo", IF(J39&lt;=25, "Médio", "Alto"))</f>
        <v>Alto</v>
      </c>
      <c r="M39" s="2">
        <v>89500</v>
      </c>
      <c r="N39" s="5" t="str">
        <f>IF(A39="Inativo", "Inativo", IF(A39="", "Negado", IF(COUNTIF(C:C, C39)&gt;1, "Negado", IF(AND(K39="Alto", L39="S"), "Negado", "Aprovado"))))</f>
        <v>Aprovado</v>
      </c>
      <c r="O39" s="5" t="str">
        <f>IF(A39="Inativo", "Inativo", IF(A39="", "Negado", IF(COUNTIF(C:C, C39)&gt;1, "Negado", IF(AND(I39&gt;50000, L39="S"), "Negado", "Aprovado"))))</f>
        <v>Aprovado</v>
      </c>
      <c r="P39" s="2">
        <f>IF(OR(N39="Negado", O39="Negado", A39="", L39=""), 0, IF(A39="Ativo", M39*0.08, 0))</f>
        <v>0</v>
      </c>
    </row>
    <row r="40" spans="1:16">
      <c r="A40" s="5" t="s">
        <v>72</v>
      </c>
      <c r="B40" s="47" t="s">
        <v>887</v>
      </c>
      <c r="C40" s="47" t="s">
        <v>639</v>
      </c>
      <c r="D40" s="5">
        <v>47</v>
      </c>
      <c r="E40" s="8">
        <v>29007</v>
      </c>
      <c r="F40" t="s">
        <v>116</v>
      </c>
      <c r="G40" t="s">
        <v>117</v>
      </c>
      <c r="H40" s="9">
        <v>5000</v>
      </c>
      <c r="I40" s="9">
        <v>75500</v>
      </c>
      <c r="J40" s="5">
        <v>2</v>
      </c>
      <c r="K40" s="5" t="str">
        <f>IF(J40&lt;=10, "Baixo", IF(J40&lt;=25, "Médio", "Alto"))</f>
        <v>Baixo</v>
      </c>
      <c r="L40" s="5" t="s">
        <v>876</v>
      </c>
      <c r="M40" s="2">
        <v>89500</v>
      </c>
      <c r="N40" s="5" t="str">
        <f>IF(A40="Inativo", "Inativo", IF(A40="", "Negado", IF(COUNTIF(C:C, C40)&gt;1, "Negado", IF(AND(K40="Alto", L40="S"), "Negado", "Aprovado"))))</f>
        <v>Aprovado</v>
      </c>
      <c r="O40" s="5" t="str">
        <f>IF(A40="Inativo", "Inativo", IF(A40="", "Negado", IF(COUNTIF(C:C, C40)&gt;1, "Negado", IF(AND(I40&gt;50000, L40="S"), "Negado", "Aprovado"))))</f>
        <v>Negado</v>
      </c>
      <c r="P40" s="2">
        <f>IF(OR(N40="Negado", O40="Negado", A40="", L40=""), 0, IF(A40="Ativo", M40*0.08, 0))</f>
        <v>0</v>
      </c>
    </row>
    <row r="41" spans="1:16">
      <c r="A41" s="5" t="s">
        <v>72</v>
      </c>
      <c r="B41" s="47" t="s">
        <v>847</v>
      </c>
      <c r="C41" s="47" t="s">
        <v>888</v>
      </c>
      <c r="D41" s="5">
        <v>47</v>
      </c>
      <c r="E41" s="8">
        <v>29054</v>
      </c>
      <c r="F41" t="s">
        <v>212</v>
      </c>
      <c r="G41" t="s">
        <v>144</v>
      </c>
      <c r="H41" s="9">
        <v>18400</v>
      </c>
      <c r="I41" s="9">
        <v>0</v>
      </c>
      <c r="J41" s="5">
        <v>31</v>
      </c>
      <c r="K41" s="5" t="str">
        <f>IF(J41&lt;=10, "Baixo", IF(J41&lt;=25, "Médio", "Alto"))</f>
        <v>Alto</v>
      </c>
      <c r="L41" s="5" t="s">
        <v>876</v>
      </c>
      <c r="M41" s="2">
        <v>89500</v>
      </c>
      <c r="N41" s="5" t="str">
        <f>IF(A41="Inativo", "Inativo", IF(A41="", "Negado", IF(COUNTIF(C:C, C41)&gt;1, "Negado", IF(AND(K41="Alto", L41="S"), "Negado", "Aprovado"))))</f>
        <v>Negado</v>
      </c>
      <c r="O41" s="5" t="str">
        <f>IF(A41="Inativo", "Inativo", IF(A41="", "Negado", IF(COUNTIF(C:C, C41)&gt;1, "Negado", IF(AND(I41&gt;50000, L41="S"), "Negado", "Aprovado"))))</f>
        <v>Aprovado</v>
      </c>
      <c r="P41" s="2">
        <f>IF(OR(N41="Negado", O41="Negado", A41="", L41=""), 0, IF(A41="Ativo", M41*0.08, 0))</f>
        <v>0</v>
      </c>
    </row>
    <row r="42" spans="1:16">
      <c r="A42" s="5" t="s">
        <v>72</v>
      </c>
      <c r="B42" s="47" t="s">
        <v>717</v>
      </c>
      <c r="C42" s="47" t="s">
        <v>889</v>
      </c>
      <c r="D42" s="5">
        <v>73</v>
      </c>
      <c r="E42" s="8">
        <v>19323</v>
      </c>
      <c r="F42" t="s">
        <v>240</v>
      </c>
      <c r="G42" t="s">
        <v>453</v>
      </c>
      <c r="H42" s="9">
        <v>18100</v>
      </c>
      <c r="I42" s="9">
        <v>0</v>
      </c>
      <c r="J42" s="5">
        <v>36</v>
      </c>
      <c r="K42" s="5" t="str">
        <f>IF(J42&lt;=10, "Baixo", IF(J42&lt;=25, "Médio", "Alto"))</f>
        <v>Alto</v>
      </c>
      <c r="L42" s="5" t="s">
        <v>874</v>
      </c>
      <c r="M42" s="2">
        <v>89000</v>
      </c>
      <c r="N42" s="5" t="str">
        <f>IF(A42="Inativo", "Inativo", IF(A42="", "Negado", IF(COUNTIF(C:C, C42)&gt;1, "Negado", IF(AND(K42="Alto", L42="S"), "Negado", "Aprovado"))))</f>
        <v>Aprovado</v>
      </c>
      <c r="O42" s="5" t="str">
        <f>IF(A42="Inativo", "Inativo", IF(A42="", "Negado", IF(COUNTIF(C:C, C42)&gt;1, "Negado", IF(AND(I42&gt;50000, L42="S"), "Negado", "Aprovado"))))</f>
        <v>Aprovado</v>
      </c>
      <c r="P42" s="2">
        <f>IF(OR(N42="Negado", O42="Negado", A42="", L42=""), 0, IF(A42="Ativo", M42*0.08, 0))</f>
        <v>7120</v>
      </c>
    </row>
    <row r="43" spans="1:16">
      <c r="A43" s="5" t="s">
        <v>72</v>
      </c>
      <c r="B43" s="47" t="s">
        <v>741</v>
      </c>
      <c r="C43" s="47" t="s">
        <v>742</v>
      </c>
      <c r="D43" s="5">
        <v>69</v>
      </c>
      <c r="E43" s="8">
        <v>21054</v>
      </c>
      <c r="F43" t="s">
        <v>168</v>
      </c>
      <c r="G43" t="s">
        <v>144</v>
      </c>
      <c r="H43" s="9">
        <v>23800</v>
      </c>
      <c r="I43" s="9">
        <v>0</v>
      </c>
      <c r="J43" s="5">
        <v>26</v>
      </c>
      <c r="K43" s="5" t="str">
        <f>IF(J43&lt;=10, "Baixo", IF(J43&lt;=25, "Médio", "Alto"))</f>
        <v>Alto</v>
      </c>
      <c r="M43" s="2">
        <v>89000</v>
      </c>
      <c r="N43" s="5" t="str">
        <f>IF(A43="Inativo", "Inativo", IF(A43="", "Negado", IF(COUNTIF(C:C, C43)&gt;1, "Negado", IF(AND(K43="Alto", L43="S"), "Negado", "Aprovado"))))</f>
        <v>Aprovado</v>
      </c>
      <c r="O43" s="5" t="str">
        <f>IF(A43="Inativo", "Inativo", IF(A43="", "Negado", IF(COUNTIF(C:C, C43)&gt;1, "Negado", IF(AND(I43&gt;50000, L43="S"), "Negado", "Aprovado"))))</f>
        <v>Aprovado</v>
      </c>
      <c r="P43" s="2">
        <f>IF(OR(N43="Negado", O43="Negado", A43="", L43=""), 0, IF(A43="Ativo", M43*0.08, 0))</f>
        <v>0</v>
      </c>
    </row>
    <row r="44" spans="1:16">
      <c r="A44" s="5" t="s">
        <v>72</v>
      </c>
      <c r="B44" s="47" t="s">
        <v>170</v>
      </c>
      <c r="C44" s="47" t="s">
        <v>171</v>
      </c>
      <c r="D44" s="5">
        <v>38</v>
      </c>
      <c r="E44" s="8">
        <v>32166</v>
      </c>
      <c r="F44" t="s">
        <v>136</v>
      </c>
      <c r="G44" t="s">
        <v>137</v>
      </c>
      <c r="H44" s="9">
        <v>19500</v>
      </c>
      <c r="I44" s="9">
        <v>39000</v>
      </c>
      <c r="J44" s="5">
        <v>25</v>
      </c>
      <c r="K44" s="5" t="str">
        <f>IF(J44&lt;=10, "Baixo", IF(J44&lt;=25, "Médio", "Alto"))</f>
        <v>Médio</v>
      </c>
      <c r="L44" s="5" t="s">
        <v>874</v>
      </c>
      <c r="M44" s="2">
        <v>88500</v>
      </c>
      <c r="N44" s="5" t="str">
        <f>IF(A44="Inativo", "Inativo", IF(A44="", "Negado", IF(COUNTIF(C:C, C44)&gt;1, "Negado", IF(AND(K44="Alto", L44="S"), "Negado", "Aprovado"))))</f>
        <v>Aprovado</v>
      </c>
      <c r="O44" s="5" t="str">
        <f>IF(A44="Inativo", "Inativo", IF(A44="", "Negado", IF(COUNTIF(C:C, C44)&gt;1, "Negado", IF(AND(I44&gt;50000, L44="S"), "Negado", "Aprovado"))))</f>
        <v>Aprovado</v>
      </c>
      <c r="P44" s="2">
        <f>IF(OR(N44="Negado", O44="Negado", A44="", L44=""), 0, IF(A44="Ativo", M44*0.08, 0))</f>
        <v>7080</v>
      </c>
    </row>
    <row r="45" spans="1:16">
      <c r="A45" s="5" t="s">
        <v>72</v>
      </c>
      <c r="B45" s="47" t="s">
        <v>580</v>
      </c>
      <c r="C45" s="47" t="s">
        <v>864</v>
      </c>
      <c r="D45" s="5">
        <v>60</v>
      </c>
      <c r="E45" s="8">
        <v>24100</v>
      </c>
      <c r="F45" t="s">
        <v>133</v>
      </c>
      <c r="G45" t="s">
        <v>134</v>
      </c>
      <c r="H45" s="9">
        <v>9700</v>
      </c>
      <c r="I45" s="9">
        <v>61000</v>
      </c>
      <c r="J45" s="5">
        <v>9</v>
      </c>
      <c r="K45" s="5" t="str">
        <f>IF(J45&lt;=10, "Baixo", IF(J45&lt;=25, "Médio", "Alto"))</f>
        <v>Baixo</v>
      </c>
      <c r="L45" s="5" t="s">
        <v>876</v>
      </c>
      <c r="M45" s="2">
        <v>88000</v>
      </c>
      <c r="N45" s="5" t="str">
        <f>IF(A45="Inativo", "Inativo", IF(A45="", "Negado", IF(COUNTIF(C:C, C45)&gt;1, "Negado", IF(AND(K45="Alto", L45="S"), "Negado", "Aprovado"))))</f>
        <v>Aprovado</v>
      </c>
      <c r="O45" s="5" t="str">
        <f>IF(A45="Inativo", "Inativo", IF(A45="", "Negado", IF(COUNTIF(C:C, C45)&gt;1, "Negado", IF(AND(I45&gt;50000, L45="S"), "Negado", "Aprovado"))))</f>
        <v>Negado</v>
      </c>
      <c r="P45" s="2">
        <f>IF(OR(N45="Negado", O45="Negado", A45="", L45=""), 0, IF(A45="Ativo", M45*0.08, 0))</f>
        <v>0</v>
      </c>
    </row>
    <row r="46" spans="1:16">
      <c r="A46" s="5" t="s">
        <v>77</v>
      </c>
      <c r="B46" s="47" t="s">
        <v>890</v>
      </c>
      <c r="C46" s="47" t="s">
        <v>154</v>
      </c>
      <c r="D46" s="5">
        <v>33</v>
      </c>
      <c r="E46" s="8">
        <v>34082</v>
      </c>
      <c r="F46" t="s">
        <v>116</v>
      </c>
      <c r="G46" t="s">
        <v>117</v>
      </c>
      <c r="H46" s="9">
        <v>23600</v>
      </c>
      <c r="I46" s="9">
        <v>75500</v>
      </c>
      <c r="J46" s="5">
        <v>16</v>
      </c>
      <c r="K46" s="5" t="str">
        <f>IF(J46&lt;=10, "Baixo", IF(J46&lt;=25, "Médio", "Alto"))</f>
        <v>Médio</v>
      </c>
      <c r="L46" s="5" t="s">
        <v>874</v>
      </c>
      <c r="M46" s="2">
        <v>88000</v>
      </c>
      <c r="N46" s="5" t="str">
        <f>IF(A46="Inativo", "Inativo", IF(A46="", "Negado", IF(COUNTIF(C:C, C46)&gt;1, "Negado", IF(AND(K46="Alto", L46="S"), "Negado", "Aprovado"))))</f>
        <v>Inativo</v>
      </c>
      <c r="O46" s="5" t="str">
        <f>IF(A46="Inativo", "Inativo", IF(A46="", "Negado", IF(COUNTIF(C:C, C46)&gt;1, "Negado", IF(AND(I46&gt;50000, L46="S"), "Negado", "Aprovado"))))</f>
        <v>Inativo</v>
      </c>
      <c r="P46" s="2">
        <f>IF(OR(N46="Negado", O46="Negado", A46="", L46=""), 0, IF(A46="Ativo", M46*0.08, 0))</f>
        <v>0</v>
      </c>
    </row>
    <row r="47" spans="1:16">
      <c r="A47" s="5" t="s">
        <v>77</v>
      </c>
      <c r="B47" s="47" t="s">
        <v>635</v>
      </c>
      <c r="C47" s="47" t="s">
        <v>891</v>
      </c>
      <c r="D47" s="5">
        <v>45</v>
      </c>
      <c r="E47" s="8">
        <v>29506</v>
      </c>
      <c r="F47" t="s">
        <v>300</v>
      </c>
      <c r="G47" t="s">
        <v>301</v>
      </c>
      <c r="H47" s="9">
        <v>5100</v>
      </c>
      <c r="I47" s="9">
        <v>25000</v>
      </c>
      <c r="J47" s="5">
        <v>29</v>
      </c>
      <c r="K47" s="5" t="str">
        <f>IF(J47&lt;=10, "Baixo", IF(J47&lt;=25, "Médio", "Alto"))</f>
        <v>Alto</v>
      </c>
      <c r="L47" s="5" t="s">
        <v>874</v>
      </c>
      <c r="M47" s="2">
        <v>88000</v>
      </c>
      <c r="N47" s="5" t="str">
        <f>IF(A47="Inativo", "Inativo", IF(A47="", "Negado", IF(COUNTIF(C:C, C47)&gt;1, "Negado", IF(AND(K47="Alto", L47="S"), "Negado", "Aprovado"))))</f>
        <v>Inativo</v>
      </c>
      <c r="O47" s="5" t="str">
        <f>IF(A47="Inativo", "Inativo", IF(A47="", "Negado", IF(COUNTIF(C:C, C47)&gt;1, "Negado", IF(AND(I47&gt;50000, L47="S"), "Negado", "Aprovado"))))</f>
        <v>Inativo</v>
      </c>
      <c r="P47" s="2">
        <f>IF(OR(N47="Negado", O47="Negado", A47="", L47=""), 0, IF(A47="Ativo", M47*0.08, 0))</f>
        <v>0</v>
      </c>
    </row>
    <row r="48" spans="1:16">
      <c r="B48" s="47" t="s">
        <v>488</v>
      </c>
      <c r="C48" s="47" t="s">
        <v>489</v>
      </c>
      <c r="D48" s="5">
        <v>56</v>
      </c>
      <c r="E48" s="8">
        <v>25705</v>
      </c>
      <c r="F48" t="s">
        <v>220</v>
      </c>
      <c r="G48" t="s">
        <v>411</v>
      </c>
      <c r="H48" s="9">
        <v>11100</v>
      </c>
      <c r="I48" s="9">
        <v>13000</v>
      </c>
      <c r="J48" s="5">
        <v>38</v>
      </c>
      <c r="K48" s="5" t="str">
        <f>IF(J48&lt;=10, "Baixo", IF(J48&lt;=25, "Médio", "Alto"))</f>
        <v>Alto</v>
      </c>
      <c r="L48" s="5" t="s">
        <v>874</v>
      </c>
      <c r="M48" s="2">
        <v>88000</v>
      </c>
      <c r="N48" s="5" t="str">
        <f>IF(A48="Inativo", "Inativo", IF(A48="", "Negado", IF(COUNTIF(C:C, C48)&gt;1, "Negado", IF(AND(K48="Alto", L48="S"), "Negado", "Aprovado"))))</f>
        <v>Negado</v>
      </c>
      <c r="O48" s="5" t="str">
        <f>IF(A48="Inativo", "Inativo", IF(A48="", "Negado", IF(COUNTIF(C:C, C48)&gt;1, "Negado", IF(AND(I48&gt;50000, L48="S"), "Negado", "Aprovado"))))</f>
        <v>Negado</v>
      </c>
      <c r="P48" s="2">
        <f>IF(OR(N48="Negado", O48="Negado", A48="", L48=""), 0, IF(A48="Ativo", M48*0.08, 0))</f>
        <v>0</v>
      </c>
    </row>
    <row r="49" spans="1:16">
      <c r="A49" s="5" t="s">
        <v>77</v>
      </c>
      <c r="B49" s="47" t="s">
        <v>211</v>
      </c>
      <c r="C49" s="47" t="s">
        <v>892</v>
      </c>
      <c r="D49" s="5">
        <v>48</v>
      </c>
      <c r="E49" s="8">
        <v>28663</v>
      </c>
      <c r="F49" t="s">
        <v>220</v>
      </c>
      <c r="G49" t="s">
        <v>411</v>
      </c>
      <c r="H49" s="9">
        <v>24700</v>
      </c>
      <c r="I49" s="9">
        <v>30500</v>
      </c>
      <c r="J49" s="5">
        <v>34</v>
      </c>
      <c r="K49" s="5" t="str">
        <f>IF(J49&lt;=10, "Baixo", IF(J49&lt;=25, "Médio", "Alto"))</f>
        <v>Alto</v>
      </c>
      <c r="L49" s="5" t="s">
        <v>874</v>
      </c>
      <c r="M49" s="2">
        <v>87500</v>
      </c>
      <c r="N49" s="5" t="str">
        <f>IF(A49="Inativo", "Inativo", IF(A49="", "Negado", IF(COUNTIF(C:C, C49)&gt;1, "Negado", IF(AND(K49="Alto", L49="S"), "Negado", "Aprovado"))))</f>
        <v>Inativo</v>
      </c>
      <c r="O49" s="5" t="str">
        <f>IF(A49="Inativo", "Inativo", IF(A49="", "Negado", IF(COUNTIF(C:C, C49)&gt;1, "Negado", IF(AND(I49&gt;50000, L49="S"), "Negado", "Aprovado"))))</f>
        <v>Inativo</v>
      </c>
      <c r="P49" s="2">
        <f>IF(OR(N49="Negado", O49="Negado", A49="", L49=""), 0, IF(A49="Ativo", M49*0.08, 0))</f>
        <v>0</v>
      </c>
    </row>
    <row r="50" spans="1:16">
      <c r="A50" s="5" t="s">
        <v>72</v>
      </c>
      <c r="B50" s="47" t="s">
        <v>516</v>
      </c>
      <c r="C50" s="47" t="s">
        <v>893</v>
      </c>
      <c r="D50" s="5">
        <v>27</v>
      </c>
      <c r="E50" s="8">
        <v>36255</v>
      </c>
      <c r="F50" t="s">
        <v>136</v>
      </c>
      <c r="G50" t="s">
        <v>137</v>
      </c>
      <c r="H50" s="9">
        <v>14000</v>
      </c>
      <c r="I50" s="9">
        <v>63500</v>
      </c>
      <c r="J50" s="5">
        <v>24</v>
      </c>
      <c r="K50" s="5" t="str">
        <f>IF(J50&lt;=10, "Baixo", IF(J50&lt;=25, "Médio", "Alto"))</f>
        <v>Médio</v>
      </c>
      <c r="L50" s="5" t="s">
        <v>874</v>
      </c>
      <c r="M50" s="2">
        <v>87000</v>
      </c>
      <c r="N50" s="5" t="str">
        <f>IF(A50="Inativo", "Inativo", IF(A50="", "Negado", IF(COUNTIF(C:C, C50)&gt;1, "Negado", IF(AND(K50="Alto", L50="S"), "Negado", "Aprovado"))))</f>
        <v>Aprovado</v>
      </c>
      <c r="O50" s="5" t="str">
        <f>IF(A50="Inativo", "Inativo", IF(A50="", "Negado", IF(COUNTIF(C:C, C50)&gt;1, "Negado", IF(AND(I50&gt;50000, L50="S"), "Negado", "Aprovado"))))</f>
        <v>Aprovado</v>
      </c>
      <c r="P50" s="2">
        <f>IF(OR(N50="Negado", O50="Negado", A50="", L50=""), 0, IF(A50="Ativo", M50*0.08, 0))</f>
        <v>6960</v>
      </c>
    </row>
    <row r="51" spans="1:16">
      <c r="A51" s="5" t="s">
        <v>72</v>
      </c>
      <c r="B51" s="47" t="s">
        <v>379</v>
      </c>
      <c r="C51" s="47" t="s">
        <v>894</v>
      </c>
      <c r="D51" s="5">
        <v>71</v>
      </c>
      <c r="E51" s="8">
        <v>20094</v>
      </c>
      <c r="F51" t="s">
        <v>212</v>
      </c>
      <c r="G51" t="s">
        <v>144</v>
      </c>
      <c r="H51" s="9">
        <v>24100</v>
      </c>
      <c r="I51" s="9">
        <v>0</v>
      </c>
      <c r="J51" s="5">
        <v>10</v>
      </c>
      <c r="K51" s="5" t="str">
        <f>IF(J51&lt;=10, "Baixo", IF(J51&lt;=25, "Médio", "Alto"))</f>
        <v>Baixo</v>
      </c>
      <c r="L51" s="5" t="s">
        <v>874</v>
      </c>
      <c r="M51" s="2">
        <v>87000</v>
      </c>
      <c r="N51" s="5" t="str">
        <f>IF(A51="Inativo", "Inativo", IF(A51="", "Negado", IF(COUNTIF(C:C, C51)&gt;1, "Negado", IF(AND(K51="Alto", L51="S"), "Negado", "Aprovado"))))</f>
        <v>Aprovado</v>
      </c>
      <c r="O51" s="5" t="str">
        <f>IF(A51="Inativo", "Inativo", IF(A51="", "Negado", IF(COUNTIF(C:C, C51)&gt;1, "Negado", IF(AND(I51&gt;50000, L51="S"), "Negado", "Aprovado"))))</f>
        <v>Aprovado</v>
      </c>
      <c r="P51" s="2">
        <f>IF(OR(N51="Negado", O51="Negado", A51="", L51=""), 0, IF(A51="Ativo", M51*0.08, 0))</f>
        <v>6960</v>
      </c>
    </row>
    <row r="52" spans="1:16">
      <c r="A52" s="5" t="s">
        <v>72</v>
      </c>
      <c r="B52" s="47" t="s">
        <v>124</v>
      </c>
      <c r="C52" s="47" t="s">
        <v>125</v>
      </c>
      <c r="D52" s="5">
        <v>54</v>
      </c>
      <c r="E52" s="8">
        <v>26382</v>
      </c>
      <c r="F52" t="s">
        <v>79</v>
      </c>
      <c r="G52" t="s">
        <v>301</v>
      </c>
      <c r="H52" s="9">
        <v>22100</v>
      </c>
      <c r="I52" s="9">
        <v>37000</v>
      </c>
      <c r="J52" s="5">
        <v>34</v>
      </c>
      <c r="K52" s="5" t="str">
        <f>IF(J52&lt;=10, "Baixo", IF(J52&lt;=25, "Médio", "Alto"))</f>
        <v>Alto</v>
      </c>
      <c r="L52" s="5" t="s">
        <v>874</v>
      </c>
      <c r="M52" s="2">
        <v>87000</v>
      </c>
      <c r="N52" s="5" t="str">
        <f>IF(A52="Inativo", "Inativo", IF(A52="", "Negado", IF(COUNTIF(C:C, C52)&gt;1, "Negado", IF(AND(K52="Alto", L52="S"), "Negado", "Aprovado"))))</f>
        <v>Aprovado</v>
      </c>
      <c r="O52" s="5" t="str">
        <f>IF(A52="Inativo", "Inativo", IF(A52="", "Negado", IF(COUNTIF(C:C, C52)&gt;1, "Negado", IF(AND(I52&gt;50000, L52="S"), "Negado", "Aprovado"))))</f>
        <v>Aprovado</v>
      </c>
      <c r="P52" s="2">
        <f>IF(OR(N52="Negado", O52="Negado", A52="", L52=""), 0, IF(A52="Ativo", M52*0.08, 0))</f>
        <v>6960</v>
      </c>
    </row>
    <row r="53" spans="1:16">
      <c r="A53" s="5" t="s">
        <v>77</v>
      </c>
      <c r="B53" s="47" t="s">
        <v>345</v>
      </c>
      <c r="C53" s="47" t="s">
        <v>346</v>
      </c>
      <c r="D53" s="5">
        <v>59</v>
      </c>
      <c r="E53" s="8">
        <v>24554</v>
      </c>
      <c r="F53" t="s">
        <v>116</v>
      </c>
      <c r="G53" t="s">
        <v>117</v>
      </c>
      <c r="H53" s="9">
        <v>15200</v>
      </c>
      <c r="I53" s="9">
        <v>11000</v>
      </c>
      <c r="J53" s="5">
        <v>27</v>
      </c>
      <c r="K53" s="5" t="str">
        <f>IF(J53&lt;=10, "Baixo", IF(J53&lt;=25, "Médio", "Alto"))</f>
        <v>Alto</v>
      </c>
      <c r="L53" s="5" t="s">
        <v>874</v>
      </c>
      <c r="M53" s="2">
        <v>87000</v>
      </c>
      <c r="N53" s="5" t="str">
        <f>IF(A53="Inativo", "Inativo", IF(A53="", "Negado", IF(COUNTIF(C:C, C53)&gt;1, "Negado", IF(AND(K53="Alto", L53="S"), "Negado", "Aprovado"))))</f>
        <v>Inativo</v>
      </c>
      <c r="O53" s="5" t="str">
        <f>IF(A53="Inativo", "Inativo", IF(A53="", "Negado", IF(COUNTIF(C:C, C53)&gt;1, "Negado", IF(AND(I53&gt;50000, L53="S"), "Negado", "Aprovado"))))</f>
        <v>Inativo</v>
      </c>
      <c r="P53" s="2">
        <f>IF(OR(N53="Negado", O53="Negado", A53="", L53=""), 0, IF(A53="Ativo", M53*0.08, 0))</f>
        <v>0</v>
      </c>
    </row>
    <row r="54" spans="1:16">
      <c r="A54" s="5" t="s">
        <v>77</v>
      </c>
      <c r="B54" s="47" t="s">
        <v>895</v>
      </c>
      <c r="C54" s="47" t="s">
        <v>417</v>
      </c>
      <c r="D54" s="5">
        <v>52</v>
      </c>
      <c r="E54" s="8">
        <v>27186</v>
      </c>
      <c r="F54" t="s">
        <v>79</v>
      </c>
      <c r="G54" t="s">
        <v>301</v>
      </c>
      <c r="H54" s="9">
        <v>6400</v>
      </c>
      <c r="I54" s="9">
        <v>37000</v>
      </c>
      <c r="J54" s="5">
        <v>1</v>
      </c>
      <c r="K54" s="5" t="str">
        <f>IF(J54&lt;=10, "Baixo", IF(J54&lt;=25, "Médio", "Alto"))</f>
        <v>Baixo</v>
      </c>
      <c r="L54" s="5" t="s">
        <v>874</v>
      </c>
      <c r="M54" s="2">
        <v>87000</v>
      </c>
      <c r="N54" s="5" t="str">
        <f>IF(A54="Inativo", "Inativo", IF(A54="", "Negado", IF(COUNTIF(C:C, C54)&gt;1, "Negado", IF(AND(K54="Alto", L54="S"), "Negado", "Aprovado"))))</f>
        <v>Inativo</v>
      </c>
      <c r="O54" s="5" t="str">
        <f>IF(A54="Inativo", "Inativo", IF(A54="", "Negado", IF(COUNTIF(C:C, C54)&gt;1, "Negado", IF(AND(I54&gt;50000, L54="S"), "Negado", "Aprovado"))))</f>
        <v>Inativo</v>
      </c>
      <c r="P54" s="2">
        <f>IF(OR(N54="Negado", O54="Negado", A54="", L54=""), 0, IF(A54="Ativo", M54*0.08, 0))</f>
        <v>0</v>
      </c>
    </row>
    <row r="55" spans="1:16">
      <c r="A55" s="5" t="s">
        <v>77</v>
      </c>
      <c r="B55" s="47" t="s">
        <v>511</v>
      </c>
      <c r="C55" s="47" t="s">
        <v>512</v>
      </c>
      <c r="D55" s="5">
        <v>49</v>
      </c>
      <c r="E55" s="8">
        <v>28049</v>
      </c>
      <c r="F55" t="s">
        <v>136</v>
      </c>
      <c r="G55" t="s">
        <v>137</v>
      </c>
      <c r="H55" s="9">
        <v>25200</v>
      </c>
      <c r="I55" s="9">
        <v>59500</v>
      </c>
      <c r="J55" s="5">
        <v>37</v>
      </c>
      <c r="K55" s="5" t="str">
        <f>IF(J55&lt;=10, "Baixo", IF(J55&lt;=25, "Médio", "Alto"))</f>
        <v>Alto</v>
      </c>
      <c r="L55" s="5" t="s">
        <v>874</v>
      </c>
      <c r="M55" s="2">
        <v>86500</v>
      </c>
      <c r="N55" s="5" t="str">
        <f>IF(A55="Inativo", "Inativo", IF(A55="", "Negado", IF(COUNTIF(C:C, C55)&gt;1, "Negado", IF(AND(K55="Alto", L55="S"), "Negado", "Aprovado"))))</f>
        <v>Inativo</v>
      </c>
      <c r="O55" s="5" t="str">
        <f>IF(A55="Inativo", "Inativo", IF(A55="", "Negado", IF(COUNTIF(C:C, C55)&gt;1, "Negado", IF(AND(I55&gt;50000, L55="S"), "Negado", "Aprovado"))))</f>
        <v>Inativo</v>
      </c>
      <c r="P55" s="2">
        <f>IF(OR(N55="Negado", O55="Negado", A55="", L55=""), 0, IF(A55="Ativo", M55*0.08, 0))</f>
        <v>0</v>
      </c>
    </row>
    <row r="56" spans="1:16">
      <c r="A56" s="5" t="s">
        <v>72</v>
      </c>
      <c r="B56" s="47" t="s">
        <v>451</v>
      </c>
      <c r="C56" s="47" t="s">
        <v>452</v>
      </c>
      <c r="D56" s="5">
        <v>53</v>
      </c>
      <c r="E56" s="8">
        <v>26631</v>
      </c>
      <c r="F56" t="s">
        <v>240</v>
      </c>
      <c r="G56" t="s">
        <v>453</v>
      </c>
      <c r="H56" s="9">
        <v>22700</v>
      </c>
      <c r="I56" s="9">
        <v>42500</v>
      </c>
      <c r="J56" s="5">
        <v>25</v>
      </c>
      <c r="K56" s="5" t="str">
        <f>IF(J56&lt;=10, "Baixo", IF(J56&lt;=25, "Médio", "Alto"))</f>
        <v>Médio</v>
      </c>
      <c r="L56" s="5" t="s">
        <v>876</v>
      </c>
      <c r="M56" s="2">
        <v>86000</v>
      </c>
      <c r="N56" s="5" t="str">
        <f>IF(A56="Inativo", "Inativo", IF(A56="", "Negado", IF(COUNTIF(C:C, C56)&gt;1, "Negado", IF(AND(K56="Alto", L56="S"), "Negado", "Aprovado"))))</f>
        <v>Aprovado</v>
      </c>
      <c r="O56" s="5" t="str">
        <f>IF(A56="Inativo", "Inativo", IF(A56="", "Negado", IF(COUNTIF(C:C, C56)&gt;1, "Negado", IF(AND(I56&gt;50000, L56="S"), "Negado", "Aprovado"))))</f>
        <v>Aprovado</v>
      </c>
      <c r="P56" s="2">
        <f>IF(OR(N56="Negado", O56="Negado", A56="", L56=""), 0, IF(A56="Ativo", M56*0.08, 0))</f>
        <v>6880</v>
      </c>
    </row>
    <row r="57" spans="1:16">
      <c r="A57" s="5" t="s">
        <v>72</v>
      </c>
      <c r="B57" s="47" t="s">
        <v>374</v>
      </c>
      <c r="C57" s="47" t="s">
        <v>375</v>
      </c>
      <c r="D57" s="5">
        <v>26</v>
      </c>
      <c r="E57" s="8">
        <v>36475</v>
      </c>
      <c r="F57" t="s">
        <v>164</v>
      </c>
      <c r="G57" s="1" t="s">
        <v>134</v>
      </c>
      <c r="H57" s="9">
        <v>13900</v>
      </c>
      <c r="I57" s="9">
        <v>53500</v>
      </c>
      <c r="J57" s="5">
        <v>12</v>
      </c>
      <c r="K57" s="5" t="str">
        <f>IF(J57&lt;=10, "Baixo", IF(J57&lt;=25, "Médio", "Alto"))</f>
        <v>Médio</v>
      </c>
      <c r="L57" s="5" t="s">
        <v>874</v>
      </c>
      <c r="M57" s="2">
        <v>85000</v>
      </c>
      <c r="N57" s="5" t="str">
        <f>IF(A57="Inativo", "Inativo", IF(A57="", "Negado", IF(COUNTIF(C:C, C57)&gt;1, "Negado", IF(AND(K57="Alto", L57="S"), "Negado", "Aprovado"))))</f>
        <v>Aprovado</v>
      </c>
      <c r="O57" s="5" t="str">
        <f>IF(A57="Inativo", "Inativo", IF(A57="", "Negado", IF(COUNTIF(C:C, C57)&gt;1, "Negado", IF(AND(I57&gt;50000, L57="S"), "Negado", "Aprovado"))))</f>
        <v>Aprovado</v>
      </c>
      <c r="P57" s="2">
        <f>IF(OR(N57="Negado", O57="Negado", A57="", L57=""), 0, IF(A57="Ativo", M57*0.08, 0))</f>
        <v>6800</v>
      </c>
    </row>
    <row r="58" spans="1:16">
      <c r="A58" s="5" t="s">
        <v>72</v>
      </c>
      <c r="B58" s="47" t="s">
        <v>401</v>
      </c>
      <c r="C58" s="47" t="s">
        <v>402</v>
      </c>
      <c r="D58" s="5">
        <v>56</v>
      </c>
      <c r="E58" s="8">
        <v>25671</v>
      </c>
      <c r="F58" t="s">
        <v>164</v>
      </c>
      <c r="G58" t="s">
        <v>134</v>
      </c>
      <c r="H58" s="9">
        <v>28300</v>
      </c>
      <c r="I58" s="9">
        <v>56000</v>
      </c>
      <c r="J58" s="5">
        <v>6</v>
      </c>
      <c r="K58" s="5" t="str">
        <f>IF(J58&lt;=10, "Baixo", IF(J58&lt;=25, "Médio", "Alto"))</f>
        <v>Baixo</v>
      </c>
      <c r="L58" s="5" t="s">
        <v>874</v>
      </c>
      <c r="M58" s="2">
        <v>84500</v>
      </c>
      <c r="N58" s="5" t="str">
        <f>IF(A58="Inativo", "Inativo", IF(A58="", "Negado", IF(COUNTIF(C:C, C58)&gt;1, "Negado", IF(AND(K58="Alto", L58="S"), "Negado", "Aprovado"))))</f>
        <v>Negado</v>
      </c>
      <c r="O58" s="5" t="str">
        <f>IF(A58="Inativo", "Inativo", IF(A58="", "Negado", IF(COUNTIF(C:C, C58)&gt;1, "Negado", IF(AND(I58&gt;50000, L58="S"), "Negado", "Aprovado"))))</f>
        <v>Negado</v>
      </c>
      <c r="P58" s="2">
        <f>IF(OR(N58="Negado", O58="Negado", A58="", L58=""), 0, IF(A58="Ativo", M58*0.08, 0))</f>
        <v>0</v>
      </c>
    </row>
    <row r="59" spans="1:16">
      <c r="A59" s="5" t="s">
        <v>77</v>
      </c>
      <c r="B59" s="47" t="s">
        <v>896</v>
      </c>
      <c r="C59" s="47" t="s">
        <v>500</v>
      </c>
      <c r="D59" s="5">
        <v>65</v>
      </c>
      <c r="E59" s="8">
        <v>22205</v>
      </c>
      <c r="F59" t="s">
        <v>136</v>
      </c>
      <c r="G59" t="s">
        <v>137</v>
      </c>
      <c r="H59" s="9">
        <v>19800</v>
      </c>
      <c r="I59" s="9">
        <v>78500</v>
      </c>
      <c r="J59" s="5">
        <v>34</v>
      </c>
      <c r="K59" s="5" t="str">
        <f>IF(J59&lt;=10, "Baixo", IF(J59&lt;=25, "Médio", "Alto"))</f>
        <v>Alto</v>
      </c>
      <c r="L59" s="5" t="s">
        <v>874</v>
      </c>
      <c r="M59" s="2">
        <v>84000</v>
      </c>
      <c r="N59" s="5" t="str">
        <f>IF(A59="Inativo", "Inativo", IF(A59="", "Negado", IF(COUNTIF(C:C, C59)&gt;1, "Negado", IF(AND(K59="Alto", L59="S"), "Negado", "Aprovado"))))</f>
        <v>Inativo</v>
      </c>
      <c r="O59" s="5" t="str">
        <f>IF(A59="Inativo", "Inativo", IF(A59="", "Negado", IF(COUNTIF(C:C, C59)&gt;1, "Negado", IF(AND(I59&gt;50000, L59="S"), "Negado", "Aprovado"))))</f>
        <v>Inativo</v>
      </c>
      <c r="P59" s="2">
        <f>IF(OR(N59="Negado", O59="Negado", A59="", L59=""), 0, IF(A59="Ativo", M59*0.08, 0))</f>
        <v>0</v>
      </c>
    </row>
    <row r="60" spans="1:16">
      <c r="A60" s="5" t="s">
        <v>77</v>
      </c>
      <c r="B60" s="47" t="s">
        <v>897</v>
      </c>
      <c r="C60" s="47" t="s">
        <v>344</v>
      </c>
      <c r="D60" s="5">
        <v>68</v>
      </c>
      <c r="E60" s="8">
        <v>21205</v>
      </c>
      <c r="F60" t="s">
        <v>168</v>
      </c>
      <c r="G60" t="s">
        <v>144</v>
      </c>
      <c r="H60" s="9">
        <v>8200</v>
      </c>
      <c r="I60" s="9">
        <v>66000</v>
      </c>
      <c r="J60" s="5">
        <v>16</v>
      </c>
      <c r="K60" s="5" t="str">
        <f>IF(J60&lt;=10, "Baixo", IF(J60&lt;=25, "Médio", "Alto"))</f>
        <v>Médio</v>
      </c>
      <c r="L60" s="5" t="s">
        <v>874</v>
      </c>
      <c r="M60" s="2">
        <v>84000</v>
      </c>
      <c r="N60" s="5" t="str">
        <f>IF(A60="Inativo", "Inativo", IF(A60="", "Negado", IF(COUNTIF(C:C, C60)&gt;1, "Negado", IF(AND(K60="Alto", L60="S"), "Negado", "Aprovado"))))</f>
        <v>Inativo</v>
      </c>
      <c r="O60" s="5" t="str">
        <f>IF(A60="Inativo", "Inativo", IF(A60="", "Negado", IF(COUNTIF(C:C, C60)&gt;1, "Negado", IF(AND(I60&gt;50000, L60="S"), "Negado", "Aprovado"))))</f>
        <v>Inativo</v>
      </c>
      <c r="P60" s="2">
        <f>IF(OR(N60="Negado", O60="Negado", A60="", L60=""), 0, IF(A60="Ativo", M60*0.08, 0))</f>
        <v>0</v>
      </c>
    </row>
    <row r="61" spans="1:16">
      <c r="A61" s="5" t="s">
        <v>72</v>
      </c>
      <c r="B61" s="47" t="s">
        <v>695</v>
      </c>
      <c r="C61" s="47" t="s">
        <v>696</v>
      </c>
      <c r="D61" s="5">
        <v>63</v>
      </c>
      <c r="E61" s="8">
        <v>23006</v>
      </c>
      <c r="F61" t="s">
        <v>136</v>
      </c>
      <c r="G61" t="s">
        <v>137</v>
      </c>
      <c r="H61" s="9">
        <v>11200</v>
      </c>
      <c r="I61" s="9">
        <v>0</v>
      </c>
      <c r="J61" s="5">
        <v>41</v>
      </c>
      <c r="K61" s="5" t="str">
        <f>IF(J61&lt;=10, "Baixo", IF(J61&lt;=25, "Médio", "Alto"))</f>
        <v>Alto</v>
      </c>
      <c r="M61" s="2">
        <v>83500</v>
      </c>
      <c r="N61" s="5" t="str">
        <f>IF(A61="Inativo", "Inativo", IF(A61="", "Negado", IF(COUNTIF(C:C, C61)&gt;1, "Negado", IF(AND(K61="Alto", L61="S"), "Negado", "Aprovado"))))</f>
        <v>Aprovado</v>
      </c>
      <c r="O61" s="5" t="str">
        <f>IF(A61="Inativo", "Inativo", IF(A61="", "Negado", IF(COUNTIF(C:C, C61)&gt;1, "Negado", IF(AND(I61&gt;50000, L61="S"), "Negado", "Aprovado"))))</f>
        <v>Aprovado</v>
      </c>
      <c r="P61" s="2">
        <f>IF(OR(N61="Negado", O61="Negado", A61="", L61=""), 0, IF(A61="Ativo", M61*0.08, 0))</f>
        <v>0</v>
      </c>
    </row>
    <row r="62" spans="1:16">
      <c r="A62" s="5" t="s">
        <v>72</v>
      </c>
      <c r="B62" s="47" t="s">
        <v>475</v>
      </c>
      <c r="C62" s="47" t="s">
        <v>860</v>
      </c>
      <c r="D62" s="5">
        <v>33</v>
      </c>
      <c r="E62" s="8">
        <v>34084</v>
      </c>
      <c r="F62" t="s">
        <v>149</v>
      </c>
      <c r="G62" t="s">
        <v>137</v>
      </c>
      <c r="H62" s="9">
        <v>29700</v>
      </c>
      <c r="I62" s="9">
        <v>38000</v>
      </c>
      <c r="J62" s="5">
        <v>41</v>
      </c>
      <c r="K62" s="5" t="str">
        <f>IF(J62&lt;=10, "Baixo", IF(J62&lt;=25, "Médio", "Alto"))</f>
        <v>Alto</v>
      </c>
      <c r="L62" s="5" t="s">
        <v>876</v>
      </c>
      <c r="M62" s="2">
        <v>83500</v>
      </c>
      <c r="N62" s="5" t="str">
        <f>IF(A62="Inativo", "Inativo", IF(A62="", "Negado", IF(COUNTIF(C:C, C62)&gt;1, "Negado", IF(AND(K62="Alto", L62="S"), "Negado", "Aprovado"))))</f>
        <v>Negado</v>
      </c>
      <c r="O62" s="5" t="str">
        <f>IF(A62="Inativo", "Inativo", IF(A62="", "Negado", IF(COUNTIF(C:C, C62)&gt;1, "Negado", IF(AND(I62&gt;50000, L62="S"), "Negado", "Aprovado"))))</f>
        <v>Aprovado</v>
      </c>
      <c r="P62" s="2">
        <f>IF(OR(N62="Negado", O62="Negado", A62="", L62=""), 0, IF(A62="Ativo", M62*0.08, 0))</f>
        <v>0</v>
      </c>
    </row>
    <row r="63" spans="1:16">
      <c r="A63" s="5" t="s">
        <v>72</v>
      </c>
      <c r="B63" s="47" t="s">
        <v>474</v>
      </c>
      <c r="C63" s="47" t="s">
        <v>898</v>
      </c>
      <c r="D63" s="5">
        <v>35</v>
      </c>
      <c r="E63" s="8">
        <v>33444</v>
      </c>
      <c r="F63" t="s">
        <v>84</v>
      </c>
      <c r="G63" t="s">
        <v>411</v>
      </c>
      <c r="H63" s="9">
        <v>8400</v>
      </c>
      <c r="I63" s="9">
        <v>62500</v>
      </c>
      <c r="J63" s="5">
        <v>31</v>
      </c>
      <c r="K63" s="5" t="str">
        <f>IF(J63&lt;=10, "Baixo", IF(J63&lt;=25, "Médio", "Alto"))</f>
        <v>Alto</v>
      </c>
      <c r="L63" s="5" t="s">
        <v>874</v>
      </c>
      <c r="M63" s="2">
        <v>83500</v>
      </c>
      <c r="N63" s="5" t="str">
        <f>IF(A63="Inativo", "Inativo", IF(A63="", "Negado", IF(COUNTIF(C:C, C63)&gt;1, "Negado", IF(AND(K63="Alto", L63="S"), "Negado", "Aprovado"))))</f>
        <v>Aprovado</v>
      </c>
      <c r="O63" s="5" t="str">
        <f>IF(A63="Inativo", "Inativo", IF(A63="", "Negado", IF(COUNTIF(C:C, C63)&gt;1, "Negado", IF(AND(I63&gt;50000, L63="S"), "Negado", "Aprovado"))))</f>
        <v>Aprovado</v>
      </c>
      <c r="P63" s="2">
        <f>IF(OR(N63="Negado", O63="Negado", A63="", L63=""), 0, IF(A63="Ativo", M63*0.08, 0))</f>
        <v>6680</v>
      </c>
    </row>
    <row r="64" spans="1:16">
      <c r="A64" s="5" t="s">
        <v>77</v>
      </c>
      <c r="B64" s="47" t="s">
        <v>723</v>
      </c>
      <c r="C64" s="47" t="s">
        <v>899</v>
      </c>
      <c r="D64" s="5">
        <v>35</v>
      </c>
      <c r="E64" s="8">
        <v>33417</v>
      </c>
      <c r="F64" t="s">
        <v>168</v>
      </c>
      <c r="G64" t="s">
        <v>144</v>
      </c>
      <c r="H64" s="9">
        <v>12400</v>
      </c>
      <c r="I64" s="9">
        <v>0</v>
      </c>
      <c r="J64" s="5">
        <v>3</v>
      </c>
      <c r="K64" s="5" t="str">
        <f>IF(J64&lt;=10, "Baixo", IF(J64&lt;=25, "Médio", "Alto"))</f>
        <v>Baixo</v>
      </c>
      <c r="L64" s="5" t="s">
        <v>874</v>
      </c>
      <c r="M64" s="2">
        <v>83500</v>
      </c>
      <c r="N64" s="5" t="str">
        <f>IF(A64="Inativo", "Inativo", IF(A64="", "Negado", IF(COUNTIF(C:C, C64)&gt;1, "Negado", IF(AND(K64="Alto", L64="S"), "Negado", "Aprovado"))))</f>
        <v>Inativo</v>
      </c>
      <c r="O64" s="5" t="str">
        <f>IF(A64="Inativo", "Inativo", IF(A64="", "Negado", IF(COUNTIF(C:C, C64)&gt;1, "Negado", IF(AND(I64&gt;50000, L64="S"), "Negado", "Aprovado"))))</f>
        <v>Inativo</v>
      </c>
      <c r="P64" s="2">
        <f>IF(OR(N64="Negado", O64="Negado", A64="", L64=""), 0, IF(A64="Ativo", M64*0.08, 0))</f>
        <v>0</v>
      </c>
    </row>
    <row r="65" spans="1:16">
      <c r="B65" s="47" t="s">
        <v>900</v>
      </c>
      <c r="C65" s="47" t="s">
        <v>196</v>
      </c>
      <c r="D65" s="5">
        <v>63</v>
      </c>
      <c r="E65" s="8">
        <v>22974</v>
      </c>
      <c r="F65" t="s">
        <v>179</v>
      </c>
      <c r="G65" t="s">
        <v>179</v>
      </c>
      <c r="H65" s="9">
        <v>14700</v>
      </c>
      <c r="I65" s="9">
        <v>0</v>
      </c>
      <c r="J65" s="5">
        <v>40</v>
      </c>
      <c r="K65" s="5" t="str">
        <f>IF(J65&lt;=10, "Baixo", IF(J65&lt;=25, "Médio", "Alto"))</f>
        <v>Alto</v>
      </c>
      <c r="L65" s="5" t="s">
        <v>876</v>
      </c>
      <c r="M65" s="2">
        <v>83500</v>
      </c>
      <c r="N65" s="5" t="str">
        <f>IF(A65="Inativo", "Inativo", IF(A65="", "Negado", IF(COUNTIF(C:C, C65)&gt;1, "Negado", IF(AND(K65="Alto", L65="S"), "Negado", "Aprovado"))))</f>
        <v>Negado</v>
      </c>
      <c r="O65" s="5" t="str">
        <f>IF(A65="Inativo", "Inativo", IF(A65="", "Negado", IF(COUNTIF(C:C, C65)&gt;1, "Negado", IF(AND(I65&gt;50000, L65="S"), "Negado", "Aprovado"))))</f>
        <v>Negado</v>
      </c>
      <c r="P65" s="2">
        <f>IF(OR(N65="Negado", O65="Negado", A65="", L65=""), 0, IF(A65="Ativo", M65*0.08, 0))</f>
        <v>0</v>
      </c>
    </row>
    <row r="66" spans="1:16">
      <c r="A66" s="5" t="s">
        <v>72</v>
      </c>
      <c r="B66" s="47" t="s">
        <v>534</v>
      </c>
      <c r="C66" s="47" t="s">
        <v>901</v>
      </c>
      <c r="D66" s="5">
        <v>40</v>
      </c>
      <c r="E66" s="8">
        <v>31337</v>
      </c>
      <c r="F66" t="s">
        <v>164</v>
      </c>
      <c r="G66" t="s">
        <v>134</v>
      </c>
      <c r="H66" s="9">
        <v>14000</v>
      </c>
      <c r="I66" s="9">
        <v>0</v>
      </c>
      <c r="J66" s="5">
        <v>24</v>
      </c>
      <c r="K66" s="5" t="str">
        <f>IF(J66&lt;=10, "Baixo", IF(J66&lt;=25, "Médio", "Alto"))</f>
        <v>Médio</v>
      </c>
      <c r="L66" s="5" t="s">
        <v>874</v>
      </c>
      <c r="M66" s="2">
        <v>82000</v>
      </c>
      <c r="N66" s="5" t="str">
        <f>IF(A66="Inativo", "Inativo", IF(A66="", "Negado", IF(COUNTIF(C:C, C66)&gt;1, "Negado", IF(AND(K66="Alto", L66="S"), "Negado", "Aprovado"))))</f>
        <v>Aprovado</v>
      </c>
      <c r="O66" s="5" t="str">
        <f>IF(A66="Inativo", "Inativo", IF(A66="", "Negado", IF(COUNTIF(C:C, C66)&gt;1, "Negado", IF(AND(I66&gt;50000, L66="S"), "Negado", "Aprovado"))))</f>
        <v>Aprovado</v>
      </c>
      <c r="P66" s="2">
        <f>IF(OR(N66="Negado", O66="Negado", A66="", L66=""), 0, IF(A66="Ativo", M66*0.08, 0))</f>
        <v>6560</v>
      </c>
    </row>
    <row r="67" spans="1:16">
      <c r="A67" s="5" t="s">
        <v>72</v>
      </c>
      <c r="B67" s="47" t="s">
        <v>902</v>
      </c>
      <c r="C67" s="47" t="s">
        <v>530</v>
      </c>
      <c r="D67" s="5">
        <v>23</v>
      </c>
      <c r="E67" s="8">
        <v>37530</v>
      </c>
      <c r="F67" t="s">
        <v>107</v>
      </c>
      <c r="G67" s="1" t="s">
        <v>108</v>
      </c>
      <c r="H67" s="9">
        <v>10700</v>
      </c>
      <c r="I67" s="9">
        <v>15000</v>
      </c>
      <c r="J67" s="5">
        <v>42</v>
      </c>
      <c r="K67" s="5" t="str">
        <f>IF(J67&lt;=10, "Baixo", IF(J67&lt;=25, "Médio", "Alto"))</f>
        <v>Alto</v>
      </c>
      <c r="L67" s="5" t="s">
        <v>874</v>
      </c>
      <c r="M67" s="2">
        <v>81500</v>
      </c>
      <c r="N67" s="5" t="str">
        <f>IF(A67="Inativo", "Inativo", IF(A67="", "Negado", IF(COUNTIF(C:C, C67)&gt;1, "Negado", IF(AND(K67="Alto", L67="S"), "Negado", "Aprovado"))))</f>
        <v>Aprovado</v>
      </c>
      <c r="O67" s="5" t="str">
        <f>IF(A67="Inativo", "Inativo", IF(A67="", "Negado", IF(COUNTIF(C:C, C67)&gt;1, "Negado", IF(AND(I67&gt;50000, L67="S"), "Negado", "Aprovado"))))</f>
        <v>Aprovado</v>
      </c>
      <c r="P67" s="2">
        <f>IF(OR(N67="Negado", O67="Negado", A67="", L67=""), 0, IF(A67="Ativo", M67*0.08, 0))</f>
        <v>6520</v>
      </c>
    </row>
    <row r="68" spans="1:16">
      <c r="A68" s="5" t="s">
        <v>77</v>
      </c>
      <c r="B68" s="47" t="s">
        <v>592</v>
      </c>
      <c r="C68" s="47" t="s">
        <v>593</v>
      </c>
      <c r="D68" s="5">
        <v>57</v>
      </c>
      <c r="E68" s="8">
        <v>25324</v>
      </c>
      <c r="F68" t="s">
        <v>149</v>
      </c>
      <c r="G68" t="s">
        <v>137</v>
      </c>
      <c r="H68" s="9">
        <v>9500</v>
      </c>
      <c r="I68" s="9">
        <v>58000</v>
      </c>
      <c r="J68" s="5">
        <v>23</v>
      </c>
      <c r="K68" s="5" t="str">
        <f>IF(J68&lt;=10, "Baixo", IF(J68&lt;=25, "Médio", "Alto"))</f>
        <v>Médio</v>
      </c>
      <c r="L68" s="5" t="s">
        <v>874</v>
      </c>
      <c r="M68" s="2">
        <v>81500</v>
      </c>
      <c r="N68" s="5" t="str">
        <f>IF(A68="Inativo", "Inativo", IF(A68="", "Negado", IF(COUNTIF(C:C, C68)&gt;1, "Negado", IF(AND(K68="Alto", L68="S"), "Negado", "Aprovado"))))</f>
        <v>Inativo</v>
      </c>
      <c r="O68" s="5" t="str">
        <f>IF(A68="Inativo", "Inativo", IF(A68="", "Negado", IF(COUNTIF(C:C, C68)&gt;1, "Negado", IF(AND(I68&gt;50000, L68="S"), "Negado", "Aprovado"))))</f>
        <v>Inativo</v>
      </c>
      <c r="P68" s="2">
        <f>IF(OR(N68="Negado", O68="Negado", A68="", L68=""), 0, IF(A68="Ativo", M68*0.08, 0))</f>
        <v>0</v>
      </c>
    </row>
    <row r="69" spans="1:16">
      <c r="A69" s="5" t="s">
        <v>72</v>
      </c>
      <c r="B69" s="47" t="s">
        <v>454</v>
      </c>
      <c r="C69" s="47" t="s">
        <v>455</v>
      </c>
      <c r="D69" s="5">
        <v>48</v>
      </c>
      <c r="E69" s="8">
        <v>28673</v>
      </c>
      <c r="F69" t="s">
        <v>240</v>
      </c>
      <c r="G69" t="s">
        <v>453</v>
      </c>
      <c r="H69" s="9">
        <v>2300</v>
      </c>
      <c r="I69" s="9">
        <v>26500</v>
      </c>
      <c r="J69" s="5">
        <v>44</v>
      </c>
      <c r="K69" s="5" t="str">
        <f>IF(J69&lt;=10, "Baixo", IF(J69&lt;=25, "Médio", "Alto"))</f>
        <v>Alto</v>
      </c>
      <c r="L69" s="5" t="s">
        <v>874</v>
      </c>
      <c r="M69" s="2">
        <v>81000</v>
      </c>
      <c r="N69" s="5" t="str">
        <f>IF(A69="Inativo", "Inativo", IF(A69="", "Negado", IF(COUNTIF(C:C, C69)&gt;1, "Negado", IF(AND(K69="Alto", L69="S"), "Negado", "Aprovado"))))</f>
        <v>Aprovado</v>
      </c>
      <c r="O69" s="5" t="str">
        <f>IF(A69="Inativo", "Inativo", IF(A69="", "Negado", IF(COUNTIF(C:C, C69)&gt;1, "Negado", IF(AND(I69&gt;50000, L69="S"), "Negado", "Aprovado"))))</f>
        <v>Aprovado</v>
      </c>
      <c r="P69" s="2">
        <f>IF(OR(N69="Negado", O69="Negado", A69="", L69=""), 0, IF(A69="Ativo", M69*0.08, 0))</f>
        <v>6480</v>
      </c>
    </row>
    <row r="70" spans="1:16">
      <c r="A70" s="5" t="s">
        <v>72</v>
      </c>
      <c r="B70" s="47" t="s">
        <v>225</v>
      </c>
      <c r="C70" s="47" t="s">
        <v>226</v>
      </c>
      <c r="D70" s="5">
        <v>42</v>
      </c>
      <c r="E70" s="8">
        <v>30662</v>
      </c>
      <c r="F70" t="s">
        <v>136</v>
      </c>
      <c r="G70" t="s">
        <v>137</v>
      </c>
      <c r="H70" s="9">
        <v>20400</v>
      </c>
      <c r="I70" s="9">
        <v>0</v>
      </c>
      <c r="J70" s="5">
        <v>0</v>
      </c>
      <c r="K70" s="5" t="str">
        <f>IF(J70&lt;=10, "Baixo", IF(J70&lt;=25, "Médio", "Alto"))</f>
        <v>Baixo</v>
      </c>
      <c r="L70" s="5" t="s">
        <v>874</v>
      </c>
      <c r="M70" s="2">
        <v>81000</v>
      </c>
      <c r="N70" s="5" t="str">
        <f>IF(A70="Inativo", "Inativo", IF(A70="", "Negado", IF(COUNTIF(C:C, C70)&gt;1, "Negado", IF(AND(K70="Alto", L70="S"), "Negado", "Aprovado"))))</f>
        <v>Aprovado</v>
      </c>
      <c r="O70" s="5" t="str">
        <f>IF(A70="Inativo", "Inativo", IF(A70="", "Negado", IF(COUNTIF(C:C, C70)&gt;1, "Negado", IF(AND(I70&gt;50000, L70="S"), "Negado", "Aprovado"))))</f>
        <v>Aprovado</v>
      </c>
      <c r="P70" s="2">
        <f>IF(OR(N70="Negado", O70="Negado", A70="", L70=""), 0, IF(A70="Ativo", M70*0.08, 0))</f>
        <v>6480</v>
      </c>
    </row>
    <row r="71" spans="1:16">
      <c r="A71" s="5" t="s">
        <v>72</v>
      </c>
      <c r="B71" s="47" t="s">
        <v>246</v>
      </c>
      <c r="C71" s="47" t="s">
        <v>247</v>
      </c>
      <c r="D71" s="5">
        <v>33</v>
      </c>
      <c r="E71" s="8">
        <v>33881</v>
      </c>
      <c r="F71" t="s">
        <v>136</v>
      </c>
      <c r="G71" t="s">
        <v>137</v>
      </c>
      <c r="H71" s="9">
        <v>29700</v>
      </c>
      <c r="I71" s="9">
        <v>22000</v>
      </c>
      <c r="J71" s="5">
        <v>38</v>
      </c>
      <c r="K71" s="5" t="str">
        <f>IF(J71&lt;=10, "Baixo", IF(J71&lt;=25, "Médio", "Alto"))</f>
        <v>Alto</v>
      </c>
      <c r="L71" s="5" t="s">
        <v>874</v>
      </c>
      <c r="M71" s="2">
        <v>81000</v>
      </c>
      <c r="N71" s="5" t="str">
        <f>IF(A71="Inativo", "Inativo", IF(A71="", "Negado", IF(COUNTIF(C:C, C71)&gt;1, "Negado", IF(AND(K71="Alto", L71="S"), "Negado", "Aprovado"))))</f>
        <v>Aprovado</v>
      </c>
      <c r="O71" s="5" t="str">
        <f>IF(A71="Inativo", "Inativo", IF(A71="", "Negado", IF(COUNTIF(C:C, C71)&gt;1, "Negado", IF(AND(I71&gt;50000, L71="S"), "Negado", "Aprovado"))))</f>
        <v>Aprovado</v>
      </c>
      <c r="P71" s="2">
        <f>IF(OR(N71="Negado", O71="Negado", A71="", L71=""), 0, IF(A71="Ativo", M71*0.08, 0))</f>
        <v>6480</v>
      </c>
    </row>
    <row r="72" spans="1:16">
      <c r="A72" s="5" t="s">
        <v>72</v>
      </c>
      <c r="B72" s="47" t="s">
        <v>573</v>
      </c>
      <c r="C72" s="47" t="s">
        <v>574</v>
      </c>
      <c r="D72" s="5">
        <v>35</v>
      </c>
      <c r="E72" s="8">
        <v>33309</v>
      </c>
      <c r="F72" t="s">
        <v>133</v>
      </c>
      <c r="G72" t="s">
        <v>134</v>
      </c>
      <c r="H72" s="9">
        <v>28500</v>
      </c>
      <c r="I72" s="9">
        <v>48500</v>
      </c>
      <c r="J72" s="5">
        <v>24</v>
      </c>
      <c r="K72" s="5" t="str">
        <f>IF(J72&lt;=10, "Baixo", IF(J72&lt;=25, "Médio", "Alto"))</f>
        <v>Médio</v>
      </c>
      <c r="L72" s="5" t="s">
        <v>874</v>
      </c>
      <c r="M72" s="2">
        <v>80500</v>
      </c>
      <c r="N72" s="5" t="str">
        <f>IF(A72="Inativo", "Inativo", IF(A72="", "Negado", IF(COUNTIF(C:C, C72)&gt;1, "Negado", IF(AND(K72="Alto", L72="S"), "Negado", "Aprovado"))))</f>
        <v>Aprovado</v>
      </c>
      <c r="O72" s="5" t="str">
        <f>IF(A72="Inativo", "Inativo", IF(A72="", "Negado", IF(COUNTIF(C:C, C72)&gt;1, "Negado", IF(AND(I72&gt;50000, L72="S"), "Negado", "Aprovado"))))</f>
        <v>Aprovado</v>
      </c>
      <c r="P72" s="2">
        <f>IF(OR(N72="Negado", O72="Negado", A72="", L72=""), 0, IF(A72="Ativo", M72*0.08, 0))</f>
        <v>6440</v>
      </c>
    </row>
    <row r="73" spans="1:16">
      <c r="A73" s="5" t="s">
        <v>77</v>
      </c>
      <c r="B73" s="47" t="s">
        <v>903</v>
      </c>
      <c r="C73" s="47" t="s">
        <v>644</v>
      </c>
      <c r="D73" s="5">
        <v>49</v>
      </c>
      <c r="E73" s="8">
        <v>28286</v>
      </c>
      <c r="F73" t="s">
        <v>107</v>
      </c>
      <c r="G73" t="s">
        <v>108</v>
      </c>
      <c r="H73" s="9">
        <v>21900</v>
      </c>
      <c r="I73" s="9">
        <v>69000</v>
      </c>
      <c r="J73" s="5">
        <v>4</v>
      </c>
      <c r="K73" s="5" t="str">
        <f>IF(J73&lt;=10, "Baixo", IF(J73&lt;=25, "Médio", "Alto"))</f>
        <v>Baixo</v>
      </c>
      <c r="L73" s="5" t="s">
        <v>874</v>
      </c>
      <c r="M73" s="2">
        <v>80500</v>
      </c>
      <c r="N73" s="5" t="str">
        <f>IF(A73="Inativo", "Inativo", IF(A73="", "Negado", IF(COUNTIF(C:C, C73)&gt;1, "Negado", IF(AND(K73="Alto", L73="S"), "Negado", "Aprovado"))))</f>
        <v>Inativo</v>
      </c>
      <c r="O73" s="5" t="str">
        <f>IF(A73="Inativo", "Inativo", IF(A73="", "Negado", IF(COUNTIF(C:C, C73)&gt;1, "Negado", IF(AND(I73&gt;50000, L73="S"), "Negado", "Aprovado"))))</f>
        <v>Inativo</v>
      </c>
      <c r="P73" s="2">
        <f>IF(OR(N73="Negado", O73="Negado", A73="", L73=""), 0, IF(A73="Ativo", M73*0.08, 0))</f>
        <v>0</v>
      </c>
    </row>
    <row r="74" spans="1:16">
      <c r="A74" s="5" t="s">
        <v>72</v>
      </c>
      <c r="B74" s="47" t="s">
        <v>904</v>
      </c>
      <c r="C74" s="47" t="s">
        <v>905</v>
      </c>
      <c r="D74" s="5">
        <v>48</v>
      </c>
      <c r="E74" s="8">
        <v>28509</v>
      </c>
      <c r="F74" t="s">
        <v>164</v>
      </c>
      <c r="G74" t="s">
        <v>134</v>
      </c>
      <c r="H74" s="9">
        <v>17800</v>
      </c>
      <c r="I74" s="9">
        <v>9000</v>
      </c>
      <c r="J74" s="5">
        <v>28</v>
      </c>
      <c r="K74" s="5" t="str">
        <f>IF(J74&lt;=10, "Baixo", IF(J74&lt;=25, "Médio", "Alto"))</f>
        <v>Alto</v>
      </c>
      <c r="L74" s="5" t="s">
        <v>874</v>
      </c>
      <c r="M74" s="2">
        <v>80000</v>
      </c>
      <c r="N74" s="5" t="str">
        <f>IF(A74="Inativo", "Inativo", IF(A74="", "Negado", IF(COUNTIF(C:C, C74)&gt;1, "Negado", IF(AND(K74="Alto", L74="S"), "Negado", "Aprovado"))))</f>
        <v>Aprovado</v>
      </c>
      <c r="O74" s="5" t="str">
        <f>IF(A74="Inativo", "Inativo", IF(A74="", "Negado", IF(COUNTIF(C:C, C74)&gt;1, "Negado", IF(AND(I74&gt;50000, L74="S"), "Negado", "Aprovado"))))</f>
        <v>Aprovado</v>
      </c>
      <c r="P74" s="2">
        <f>IF(OR(N74="Negado", O74="Negado", A74="", L74=""), 0, IF(A74="Ativo", M74*0.08, 0))</f>
        <v>6400</v>
      </c>
    </row>
    <row r="75" spans="1:16">
      <c r="A75" s="5" t="s">
        <v>72</v>
      </c>
      <c r="B75" s="47" t="s">
        <v>354</v>
      </c>
      <c r="C75" s="47" t="s">
        <v>355</v>
      </c>
      <c r="D75" s="5">
        <v>58</v>
      </c>
      <c r="E75" s="8">
        <v>24905</v>
      </c>
      <c r="F75" t="s">
        <v>116</v>
      </c>
      <c r="G75" t="s">
        <v>117</v>
      </c>
      <c r="H75" s="9">
        <v>12400</v>
      </c>
      <c r="I75" s="9">
        <v>21500</v>
      </c>
      <c r="J75" s="5">
        <v>24</v>
      </c>
      <c r="K75" s="5" t="str">
        <f>IF(J75&lt;=10, "Baixo", IF(J75&lt;=25, "Médio", "Alto"))</f>
        <v>Médio</v>
      </c>
      <c r="L75" s="5" t="s">
        <v>876</v>
      </c>
      <c r="M75" s="2">
        <v>80000</v>
      </c>
      <c r="N75" s="5" t="str">
        <f>IF(A75="Inativo", "Inativo", IF(A75="", "Negado", IF(COUNTIF(C:C, C75)&gt;1, "Negado", IF(AND(K75="Alto", L75="S"), "Negado", "Aprovado"))))</f>
        <v>Aprovado</v>
      </c>
      <c r="O75" s="5" t="str">
        <f>IF(A75="Inativo", "Inativo", IF(A75="", "Negado", IF(COUNTIF(C:C, C75)&gt;1, "Negado", IF(AND(I75&gt;50000, L75="S"), "Negado", "Aprovado"))))</f>
        <v>Aprovado</v>
      </c>
      <c r="P75" s="2">
        <f>IF(OR(N75="Negado", O75="Negado", A75="", L75=""), 0, IF(A75="Ativo", M75*0.08, 0))</f>
        <v>6400</v>
      </c>
    </row>
    <row r="76" spans="1:16">
      <c r="A76" s="5" t="s">
        <v>77</v>
      </c>
      <c r="B76" s="47" t="s">
        <v>475</v>
      </c>
      <c r="C76" s="47" t="s">
        <v>476</v>
      </c>
      <c r="D76" s="5">
        <v>44</v>
      </c>
      <c r="E76" s="8">
        <v>29948</v>
      </c>
      <c r="F76" t="s">
        <v>179</v>
      </c>
      <c r="G76" t="s">
        <v>179</v>
      </c>
      <c r="H76" s="9">
        <v>0</v>
      </c>
      <c r="I76" s="9">
        <v>0</v>
      </c>
      <c r="J76" s="5">
        <v>4</v>
      </c>
      <c r="K76" s="5" t="str">
        <f>IF(J76&lt;=10, "Baixo", IF(J76&lt;=25, "Médio", "Alto"))</f>
        <v>Baixo</v>
      </c>
      <c r="L76" s="5" t="s">
        <v>874</v>
      </c>
      <c r="M76" s="2">
        <v>80000</v>
      </c>
      <c r="N76" s="5" t="str">
        <f>IF(A76="Inativo", "Inativo", IF(A76="", "Negado", IF(COUNTIF(C:C, C76)&gt;1, "Negado", IF(AND(K76="Alto", L76="S"), "Negado", "Aprovado"))))</f>
        <v>Inativo</v>
      </c>
      <c r="O76" s="5" t="str">
        <f>IF(A76="Inativo", "Inativo", IF(A76="", "Negado", IF(COUNTIF(C:C, C76)&gt;1, "Negado", IF(AND(I76&gt;50000, L76="S"), "Negado", "Aprovado"))))</f>
        <v>Inativo</v>
      </c>
      <c r="P76" s="2">
        <f>IF(OR(N76="Negado", O76="Negado", A76="", L76=""), 0, IF(A76="Ativo", M76*0.08, 0))</f>
        <v>0</v>
      </c>
    </row>
    <row r="77" spans="1:16">
      <c r="A77" s="5" t="s">
        <v>72</v>
      </c>
      <c r="B77" s="47" t="s">
        <v>766</v>
      </c>
      <c r="C77" s="47" t="s">
        <v>767</v>
      </c>
      <c r="D77" s="5">
        <v>69</v>
      </c>
      <c r="F77" t="s">
        <v>300</v>
      </c>
      <c r="G77" t="s">
        <v>301</v>
      </c>
      <c r="H77" s="9">
        <v>11400</v>
      </c>
      <c r="I77" s="9">
        <v>0</v>
      </c>
      <c r="J77" s="5">
        <v>13</v>
      </c>
      <c r="K77" s="5" t="str">
        <f>IF(J77&lt;=10, "Baixo", IF(J77&lt;=25, "Médio", "Alto"))</f>
        <v>Médio</v>
      </c>
      <c r="L77" s="5" t="s">
        <v>876</v>
      </c>
      <c r="M77" s="2">
        <v>79000</v>
      </c>
      <c r="N77" s="5" t="str">
        <f>IF(A77="Inativo", "Inativo", IF(A77="", "Negado", IF(COUNTIF(C:C, C77)&gt;1, "Negado", IF(AND(K77="Alto", L77="S"), "Negado", "Aprovado"))))</f>
        <v>Aprovado</v>
      </c>
      <c r="O77" s="5" t="str">
        <f>IF(A77="Inativo", "Inativo", IF(A77="", "Negado", IF(COUNTIF(C:C, C77)&gt;1, "Negado", IF(AND(I77&gt;50000, L77="S"), "Negado", "Aprovado"))))</f>
        <v>Aprovado</v>
      </c>
      <c r="P77" s="2">
        <f>IF(OR(N77="Negado", O77="Negado", A77="", L77=""), 0, IF(A77="Ativo", M77*0.08, 0))</f>
        <v>6320</v>
      </c>
    </row>
    <row r="78" spans="1:16">
      <c r="A78" s="5" t="s">
        <v>77</v>
      </c>
      <c r="B78" s="47" t="s">
        <v>275</v>
      </c>
      <c r="C78" s="47" t="s">
        <v>906</v>
      </c>
      <c r="D78" s="5">
        <v>31</v>
      </c>
      <c r="E78" s="8">
        <v>34828</v>
      </c>
      <c r="F78" t="s">
        <v>220</v>
      </c>
      <c r="G78" t="s">
        <v>411</v>
      </c>
      <c r="H78" s="9">
        <v>24900</v>
      </c>
      <c r="I78" s="9">
        <v>72000</v>
      </c>
      <c r="J78" s="5">
        <v>35</v>
      </c>
      <c r="K78" s="5" t="str">
        <f>IF(J78&lt;=10, "Baixo", IF(J78&lt;=25, "Médio", "Alto"))</f>
        <v>Alto</v>
      </c>
      <c r="L78" s="5" t="s">
        <v>874</v>
      </c>
      <c r="M78" s="2">
        <v>79000</v>
      </c>
      <c r="N78" s="5" t="str">
        <f>IF(A78="Inativo", "Inativo", IF(A78="", "Negado", IF(COUNTIF(C:C, C78)&gt;1, "Negado", IF(AND(K78="Alto", L78="S"), "Negado", "Aprovado"))))</f>
        <v>Inativo</v>
      </c>
      <c r="O78" s="5" t="str">
        <f>IF(A78="Inativo", "Inativo", IF(A78="", "Negado", IF(COUNTIF(C:C, C78)&gt;1, "Negado", IF(AND(I78&gt;50000, L78="S"), "Negado", "Aprovado"))))</f>
        <v>Inativo</v>
      </c>
      <c r="P78" s="2">
        <f>IF(OR(N78="Negado", O78="Negado", A78="", L78=""), 0, IF(A78="Ativo", M78*0.08, 0))</f>
        <v>0</v>
      </c>
    </row>
    <row r="79" spans="1:16">
      <c r="A79" s="5" t="s">
        <v>72</v>
      </c>
      <c r="B79" s="47" t="s">
        <v>304</v>
      </c>
      <c r="C79" s="47" t="s">
        <v>305</v>
      </c>
      <c r="D79" s="5">
        <v>55</v>
      </c>
      <c r="E79" s="8">
        <v>26161</v>
      </c>
      <c r="F79" t="s">
        <v>168</v>
      </c>
      <c r="G79" t="s">
        <v>144</v>
      </c>
      <c r="H79" s="9">
        <v>12200</v>
      </c>
      <c r="I79" s="9">
        <v>70500</v>
      </c>
      <c r="J79" s="5">
        <v>33</v>
      </c>
      <c r="K79" s="5" t="str">
        <f>IF(J79&lt;=10, "Baixo", IF(J79&lt;=25, "Médio", "Alto"))</f>
        <v>Alto</v>
      </c>
      <c r="L79" s="5" t="s">
        <v>874</v>
      </c>
      <c r="M79" s="2">
        <v>78000</v>
      </c>
      <c r="N79" s="5" t="str">
        <f>IF(A79="Inativo", "Inativo", IF(A79="", "Negado", IF(COUNTIF(C:C, C79)&gt;1, "Negado", IF(AND(K79="Alto", L79="S"), "Negado", "Aprovado"))))</f>
        <v>Aprovado</v>
      </c>
      <c r="O79" s="5" t="str">
        <f>IF(A79="Inativo", "Inativo", IF(A79="", "Negado", IF(COUNTIF(C:C, C79)&gt;1, "Negado", IF(AND(I79&gt;50000, L79="S"), "Negado", "Aprovado"))))</f>
        <v>Aprovado</v>
      </c>
      <c r="P79" s="2">
        <f>IF(OR(N79="Negado", O79="Negado", A79="", L79=""), 0, IF(A79="Ativo", M79*0.08, 0))</f>
        <v>6240</v>
      </c>
    </row>
    <row r="80" spans="1:16">
      <c r="A80" s="5" t="s">
        <v>72</v>
      </c>
      <c r="B80" s="47" t="s">
        <v>287</v>
      </c>
      <c r="C80" s="47" t="s">
        <v>288</v>
      </c>
      <c r="D80" s="5">
        <v>37</v>
      </c>
      <c r="E80" s="8">
        <v>32543</v>
      </c>
      <c r="F80" t="s">
        <v>143</v>
      </c>
      <c r="G80" t="s">
        <v>144</v>
      </c>
      <c r="H80" s="9">
        <v>29200</v>
      </c>
      <c r="I80" s="9">
        <v>45000</v>
      </c>
      <c r="J80" s="5">
        <v>26</v>
      </c>
      <c r="K80" s="5" t="str">
        <f>IF(J80&lt;=10, "Baixo", IF(J80&lt;=25, "Médio", "Alto"))</f>
        <v>Alto</v>
      </c>
      <c r="L80" s="5" t="s">
        <v>874</v>
      </c>
      <c r="M80" s="2">
        <v>78000</v>
      </c>
      <c r="N80" s="5" t="str">
        <f>IF(A80="Inativo", "Inativo", IF(A80="", "Negado", IF(COUNTIF(C:C, C80)&gt;1, "Negado", IF(AND(K80="Alto", L80="S"), "Negado", "Aprovado"))))</f>
        <v>Negado</v>
      </c>
      <c r="O80" s="5" t="str">
        <f>IF(A80="Inativo", "Inativo", IF(A80="", "Negado", IF(COUNTIF(C:C, C80)&gt;1, "Negado", IF(AND(I80&gt;50000, L80="S"), "Negado", "Aprovado"))))</f>
        <v>Negado</v>
      </c>
      <c r="P80" s="2">
        <f>IF(OR(N80="Negado", O80="Negado", A80="", L80=""), 0, IF(A80="Ativo", M80*0.08, 0))</f>
        <v>0</v>
      </c>
    </row>
    <row r="81" spans="1:16">
      <c r="A81" s="5" t="s">
        <v>72</v>
      </c>
      <c r="B81" s="47" t="s">
        <v>583</v>
      </c>
      <c r="C81" s="47" t="s">
        <v>584</v>
      </c>
      <c r="D81" s="5">
        <v>71</v>
      </c>
      <c r="E81" s="8">
        <v>20000</v>
      </c>
      <c r="F81" t="s">
        <v>240</v>
      </c>
      <c r="G81" t="s">
        <v>453</v>
      </c>
      <c r="H81" s="9">
        <v>15100</v>
      </c>
      <c r="I81" s="9">
        <v>0</v>
      </c>
      <c r="J81" s="5">
        <v>42</v>
      </c>
      <c r="K81" s="5" t="str">
        <f>IF(J81&lt;=10, "Baixo", IF(J81&lt;=25, "Médio", "Alto"))</f>
        <v>Alto</v>
      </c>
      <c r="L81" s="5" t="s">
        <v>874</v>
      </c>
      <c r="M81" s="2">
        <v>77000</v>
      </c>
      <c r="N81" s="5" t="str">
        <f>IF(A81="Inativo", "Inativo", IF(A81="", "Negado", IF(COUNTIF(C:C, C81)&gt;1, "Negado", IF(AND(K81="Alto", L81="S"), "Negado", "Aprovado"))))</f>
        <v>Aprovado</v>
      </c>
      <c r="O81" s="5" t="str">
        <f>IF(A81="Inativo", "Inativo", IF(A81="", "Negado", IF(COUNTIF(C:C, C81)&gt;1, "Negado", IF(AND(I81&gt;50000, L81="S"), "Negado", "Aprovado"))))</f>
        <v>Aprovado</v>
      </c>
      <c r="P81" s="2">
        <f>IF(OR(N81="Negado", O81="Negado", A81="", L81=""), 0, IF(A81="Ativo", M81*0.08, 0))</f>
        <v>6160</v>
      </c>
    </row>
    <row r="82" spans="1:16">
      <c r="A82" s="5" t="s">
        <v>72</v>
      </c>
      <c r="B82" s="47" t="s">
        <v>401</v>
      </c>
      <c r="C82" s="47" t="s">
        <v>402</v>
      </c>
      <c r="D82" s="5">
        <v>56</v>
      </c>
      <c r="E82" s="8">
        <v>25671</v>
      </c>
      <c r="F82" t="s">
        <v>164</v>
      </c>
      <c r="G82" t="s">
        <v>134</v>
      </c>
      <c r="H82" s="9">
        <v>28300</v>
      </c>
      <c r="I82" s="9">
        <v>56000</v>
      </c>
      <c r="J82" s="5">
        <v>6</v>
      </c>
      <c r="K82" s="5" t="str">
        <f>IF(J82&lt;=10, "Baixo", IF(J82&lt;=25, "Médio", "Alto"))</f>
        <v>Baixo</v>
      </c>
      <c r="L82" s="5" t="s">
        <v>874</v>
      </c>
      <c r="M82" s="2">
        <v>77000</v>
      </c>
      <c r="N82" s="5" t="str">
        <f>IF(A82="Inativo", "Inativo", IF(A82="", "Negado", IF(COUNTIF(C:C, C82)&gt;1, "Negado", IF(AND(K82="Alto", L82="S"), "Negado", "Aprovado"))))</f>
        <v>Negado</v>
      </c>
      <c r="O82" s="5" t="str">
        <f>IF(A82="Inativo", "Inativo", IF(A82="", "Negado", IF(COUNTIF(C:C, C82)&gt;1, "Negado", IF(AND(I82&gt;50000, L82="S"), "Negado", "Aprovado"))))</f>
        <v>Negado</v>
      </c>
      <c r="P82" s="2">
        <f>IF(OR(N82="Negado", O82="Negado", A82="", L82=""), 0, IF(A82="Ativo", M82*0.08, 0))</f>
        <v>0</v>
      </c>
    </row>
    <row r="83" spans="1:16">
      <c r="A83" s="5" t="s">
        <v>77</v>
      </c>
      <c r="B83" s="47" t="s">
        <v>692</v>
      </c>
      <c r="C83" s="47" t="s">
        <v>907</v>
      </c>
      <c r="D83" s="5">
        <v>46</v>
      </c>
      <c r="E83" s="8">
        <v>29427</v>
      </c>
      <c r="F83" t="s">
        <v>164</v>
      </c>
      <c r="G83" t="s">
        <v>134</v>
      </c>
      <c r="H83" s="9">
        <v>0</v>
      </c>
      <c r="I83" s="9">
        <v>37500</v>
      </c>
      <c r="K83" s="5" t="str">
        <f>IF(J83&lt;=10, "Baixo", IF(J83&lt;=25, "Médio", "Alto"))</f>
        <v>Baixo</v>
      </c>
      <c r="L83" s="5" t="s">
        <v>874</v>
      </c>
      <c r="M83" s="2">
        <v>77000</v>
      </c>
      <c r="N83" s="5" t="str">
        <f>IF(A83="Inativo", "Inativo", IF(A83="", "Negado", IF(COUNTIF(C:C, C83)&gt;1, "Negado", IF(AND(K83="Alto", L83="S"), "Negado", "Aprovado"))))</f>
        <v>Inativo</v>
      </c>
      <c r="O83" s="5" t="str">
        <f>IF(A83="Inativo", "Inativo", IF(A83="", "Negado", IF(COUNTIF(C:C, C83)&gt;1, "Negado", IF(AND(I83&gt;50000, L83="S"), "Negado", "Aprovado"))))</f>
        <v>Inativo</v>
      </c>
      <c r="P83" s="2">
        <f>IF(OR(N83="Negado", O83="Negado", A83="", L83=""), 0, IF(A83="Ativo", M83*0.08, 0))</f>
        <v>0</v>
      </c>
    </row>
    <row r="84" spans="1:16">
      <c r="A84" s="5" t="s">
        <v>77</v>
      </c>
      <c r="B84" s="47" t="s">
        <v>908</v>
      </c>
      <c r="C84" s="47" t="s">
        <v>326</v>
      </c>
      <c r="D84" s="5">
        <v>72</v>
      </c>
      <c r="E84" s="8">
        <v>19672</v>
      </c>
      <c r="F84" t="s">
        <v>179</v>
      </c>
      <c r="G84" t="s">
        <v>179</v>
      </c>
      <c r="H84" s="9">
        <v>21000</v>
      </c>
      <c r="I84" s="9">
        <v>0</v>
      </c>
      <c r="J84" s="5">
        <v>11</v>
      </c>
      <c r="K84" s="5" t="str">
        <f>IF(J84&lt;=10, "Baixo", IF(J84&lt;=25, "Médio", "Alto"))</f>
        <v>Médio</v>
      </c>
      <c r="L84" s="5" t="s">
        <v>874</v>
      </c>
      <c r="M84" s="2">
        <v>75500</v>
      </c>
      <c r="N84" s="5" t="str">
        <f>IF(A84="Inativo", "Inativo", IF(A84="", "Negado", IF(COUNTIF(C:C, C84)&gt;1, "Negado", IF(AND(K84="Alto", L84="S"), "Negado", "Aprovado"))))</f>
        <v>Inativo</v>
      </c>
      <c r="O84" s="5" t="str">
        <f>IF(A84="Inativo", "Inativo", IF(A84="", "Negado", IF(COUNTIF(C:C, C84)&gt;1, "Negado", IF(AND(I84&gt;50000, L84="S"), "Negado", "Aprovado"))))</f>
        <v>Inativo</v>
      </c>
      <c r="P84" s="2">
        <f>IF(OR(N84="Negado", O84="Negado", A84="", L84=""), 0, IF(A84="Ativo", M84*0.08, 0))</f>
        <v>0</v>
      </c>
    </row>
    <row r="85" spans="1:16">
      <c r="A85" s="5" t="s">
        <v>72</v>
      </c>
      <c r="B85" s="47" t="s">
        <v>718</v>
      </c>
      <c r="C85" s="47" t="s">
        <v>909</v>
      </c>
      <c r="D85" s="5">
        <v>26</v>
      </c>
      <c r="E85" s="8">
        <v>36759</v>
      </c>
      <c r="F85" t="s">
        <v>179</v>
      </c>
      <c r="G85" t="s">
        <v>179</v>
      </c>
      <c r="H85" s="9">
        <v>23200</v>
      </c>
      <c r="I85" s="9">
        <v>54500</v>
      </c>
      <c r="J85" s="5">
        <v>26</v>
      </c>
      <c r="K85" s="5" t="str">
        <f>IF(J85&lt;=10, "Baixo", IF(J85&lt;=25, "Médio", "Alto"))</f>
        <v>Alto</v>
      </c>
      <c r="L85" s="5" t="s">
        <v>876</v>
      </c>
      <c r="M85" s="2">
        <v>75000</v>
      </c>
      <c r="N85" s="5" t="str">
        <f>IF(A85="Inativo", "Inativo", IF(A85="", "Negado", IF(COUNTIF(C:C, C85)&gt;1, "Negado", IF(AND(K85="Alto", L85="S"), "Negado", "Aprovado"))))</f>
        <v>Negado</v>
      </c>
      <c r="O85" s="5" t="str">
        <f>IF(A85="Inativo", "Inativo", IF(A85="", "Negado", IF(COUNTIF(C:C, C85)&gt;1, "Negado", IF(AND(I85&gt;50000, L85="S"), "Negado", "Aprovado"))))</f>
        <v>Negado</v>
      </c>
      <c r="P85" s="2">
        <f>IF(OR(N85="Negado", O85="Negado", A85="", L85=""), 0, IF(A85="Ativo", M85*0.08, 0))</f>
        <v>0</v>
      </c>
    </row>
    <row r="86" spans="1:16">
      <c r="A86" s="5" t="s">
        <v>72</v>
      </c>
      <c r="B86" s="47" t="s">
        <v>261</v>
      </c>
      <c r="C86" s="47" t="s">
        <v>814</v>
      </c>
      <c r="D86" s="5">
        <v>41</v>
      </c>
      <c r="E86" s="8">
        <v>31156</v>
      </c>
      <c r="F86" t="s">
        <v>157</v>
      </c>
      <c r="G86" t="s">
        <v>137</v>
      </c>
      <c r="H86" s="9">
        <v>26500</v>
      </c>
      <c r="I86" s="9">
        <v>29500</v>
      </c>
      <c r="J86" s="5">
        <v>5</v>
      </c>
      <c r="K86" s="5" t="str">
        <f>IF(J86&lt;=10, "Baixo", IF(J86&lt;=25, "Médio", "Alto"))</f>
        <v>Baixo</v>
      </c>
      <c r="L86" s="5" t="s">
        <v>874</v>
      </c>
      <c r="M86" s="2">
        <v>75000</v>
      </c>
      <c r="N86" s="5" t="str">
        <f>IF(A86="Inativo", "Inativo", IF(A86="", "Negado", IF(COUNTIF(C:C, C86)&gt;1, "Negado", IF(AND(K86="Alto", L86="S"), "Negado", "Aprovado"))))</f>
        <v>Aprovado</v>
      </c>
      <c r="O86" s="5" t="str">
        <f>IF(A86="Inativo", "Inativo", IF(A86="", "Negado", IF(COUNTIF(C:C, C86)&gt;1, "Negado", IF(AND(I86&gt;50000, L86="S"), "Negado", "Aprovado"))))</f>
        <v>Aprovado</v>
      </c>
      <c r="P86" s="2">
        <f>IF(OR(N86="Negado", O86="Negado", A86="", L86=""), 0, IF(A86="Ativo", M86*0.08, 0))</f>
        <v>6000</v>
      </c>
    </row>
    <row r="87" spans="1:16">
      <c r="A87" s="5" t="s">
        <v>72</v>
      </c>
      <c r="B87" s="47" t="s">
        <v>201</v>
      </c>
      <c r="C87" s="47" t="s">
        <v>202</v>
      </c>
      <c r="D87" s="5">
        <v>39</v>
      </c>
      <c r="E87" s="8">
        <v>31879</v>
      </c>
      <c r="F87" t="s">
        <v>143</v>
      </c>
      <c r="G87" t="s">
        <v>144</v>
      </c>
      <c r="H87" s="9">
        <v>29900</v>
      </c>
      <c r="I87" s="9">
        <v>0</v>
      </c>
      <c r="J87" s="5">
        <v>39</v>
      </c>
      <c r="K87" s="5" t="str">
        <f>IF(J87&lt;=10, "Baixo", IF(J87&lt;=25, "Médio", "Alto"))</f>
        <v>Alto</v>
      </c>
      <c r="L87" s="5" t="s">
        <v>874</v>
      </c>
      <c r="M87" s="2">
        <v>75000</v>
      </c>
      <c r="N87" s="5" t="str">
        <f>IF(A87="Inativo", "Inativo", IF(A87="", "Negado", IF(COUNTIF(C:C, C87)&gt;1, "Negado", IF(AND(K87="Alto", L87="S"), "Negado", "Aprovado"))))</f>
        <v>Aprovado</v>
      </c>
      <c r="O87" s="5" t="str">
        <f>IF(A87="Inativo", "Inativo", IF(A87="", "Negado", IF(COUNTIF(C:C, C87)&gt;1, "Negado", IF(AND(I87&gt;50000, L87="S"), "Negado", "Aprovado"))))</f>
        <v>Aprovado</v>
      </c>
      <c r="P87" s="2">
        <f>IF(OR(N87="Negado", O87="Negado", A87="", L87=""), 0, IF(A87="Ativo", M87*0.08, 0))</f>
        <v>6000</v>
      </c>
    </row>
    <row r="88" spans="1:16">
      <c r="A88" s="5" t="s">
        <v>72</v>
      </c>
      <c r="B88" s="47" t="s">
        <v>910</v>
      </c>
      <c r="C88" s="47" t="s">
        <v>911</v>
      </c>
      <c r="D88" s="5">
        <v>46</v>
      </c>
      <c r="F88" t="s">
        <v>136</v>
      </c>
      <c r="G88" t="s">
        <v>137</v>
      </c>
      <c r="H88" s="9">
        <v>21300</v>
      </c>
      <c r="I88" s="9">
        <v>60500</v>
      </c>
      <c r="J88" s="5">
        <v>15</v>
      </c>
      <c r="K88" s="5" t="str">
        <f>IF(J88&lt;=10, "Baixo", IF(J88&lt;=25, "Médio", "Alto"))</f>
        <v>Médio</v>
      </c>
      <c r="M88" s="2">
        <v>74500</v>
      </c>
      <c r="N88" s="5" t="str">
        <f>IF(A88="Inativo", "Inativo", IF(A88="", "Negado", IF(COUNTIF(C:C, C88)&gt;1, "Negado", IF(AND(K88="Alto", L88="S"), "Negado", "Aprovado"))))</f>
        <v>Aprovado</v>
      </c>
      <c r="O88" s="5" t="str">
        <f>IF(A88="Inativo", "Inativo", IF(A88="", "Negado", IF(COUNTIF(C:C, C88)&gt;1, "Negado", IF(AND(I88&gt;50000, L88="S"), "Negado", "Aprovado"))))</f>
        <v>Aprovado</v>
      </c>
      <c r="P88" s="2">
        <f>IF(OR(N88="Negado", O88="Negado", A88="", L88=""), 0, IF(A88="Ativo", M88*0.08, 0))</f>
        <v>0</v>
      </c>
    </row>
    <row r="89" spans="1:16">
      <c r="A89" s="5" t="s">
        <v>72</v>
      </c>
      <c r="B89" s="47" t="s">
        <v>413</v>
      </c>
      <c r="C89" s="47" t="s">
        <v>912</v>
      </c>
      <c r="D89" s="5">
        <v>24</v>
      </c>
      <c r="E89" s="8">
        <v>37290</v>
      </c>
      <c r="F89" t="s">
        <v>168</v>
      </c>
      <c r="G89" t="s">
        <v>144</v>
      </c>
      <c r="H89" s="9">
        <v>6400</v>
      </c>
      <c r="I89" s="9">
        <v>41000</v>
      </c>
      <c r="J89" s="5">
        <v>22</v>
      </c>
      <c r="K89" s="5" t="str">
        <f>IF(J89&lt;=10, "Baixo", IF(J89&lt;=25, "Médio", "Alto"))</f>
        <v>Médio</v>
      </c>
      <c r="L89" s="5" t="s">
        <v>874</v>
      </c>
      <c r="M89" s="2">
        <v>74500</v>
      </c>
      <c r="N89" s="5" t="str">
        <f>IF(A89="Inativo", "Inativo", IF(A89="", "Negado", IF(COUNTIF(C:C, C89)&gt;1, "Negado", IF(AND(K89="Alto", L89="S"), "Negado", "Aprovado"))))</f>
        <v>Aprovado</v>
      </c>
      <c r="O89" s="5" t="str">
        <f>IF(A89="Inativo", "Inativo", IF(A89="", "Negado", IF(COUNTIF(C:C, C89)&gt;1, "Negado", IF(AND(I89&gt;50000, L89="S"), "Negado", "Aprovado"))))</f>
        <v>Aprovado</v>
      </c>
      <c r="P89" s="2">
        <f>IF(OR(N89="Negado", O89="Negado", A89="", L89=""), 0, IF(A89="Ativo", M89*0.08, 0))</f>
        <v>5960</v>
      </c>
    </row>
    <row r="90" spans="1:16">
      <c r="A90" s="5" t="s">
        <v>77</v>
      </c>
      <c r="B90" s="47" t="s">
        <v>602</v>
      </c>
      <c r="C90" s="47" t="s">
        <v>603</v>
      </c>
      <c r="D90" s="5">
        <v>69</v>
      </c>
      <c r="E90" s="8">
        <v>20785</v>
      </c>
      <c r="F90" t="s">
        <v>136</v>
      </c>
      <c r="G90" t="s">
        <v>137</v>
      </c>
      <c r="H90" s="9">
        <v>16000</v>
      </c>
      <c r="I90" s="9">
        <v>48000</v>
      </c>
      <c r="J90" s="5">
        <v>29</v>
      </c>
      <c r="K90" s="5" t="str">
        <f>IF(J90&lt;=10, "Baixo", IF(J90&lt;=25, "Médio", "Alto"))</f>
        <v>Alto</v>
      </c>
      <c r="L90" s="5" t="s">
        <v>874</v>
      </c>
      <c r="M90" s="2">
        <v>74500</v>
      </c>
      <c r="N90" s="5" t="str">
        <f>IF(A90="Inativo", "Inativo", IF(A90="", "Negado", IF(COUNTIF(C:C, C90)&gt;1, "Negado", IF(AND(K90="Alto", L90="S"), "Negado", "Aprovado"))))</f>
        <v>Inativo</v>
      </c>
      <c r="O90" s="5" t="str">
        <f>IF(A90="Inativo", "Inativo", IF(A90="", "Negado", IF(COUNTIF(C:C, C90)&gt;1, "Negado", IF(AND(I90&gt;50000, L90="S"), "Negado", "Aprovado"))))</f>
        <v>Inativo</v>
      </c>
      <c r="P90" s="2">
        <f>IF(OR(N90="Negado", O90="Negado", A90="", L90=""), 0, IF(A90="Ativo", M90*0.08, 0))</f>
        <v>0</v>
      </c>
    </row>
    <row r="91" spans="1:16">
      <c r="A91" s="5" t="s">
        <v>77</v>
      </c>
      <c r="B91" s="47" t="s">
        <v>547</v>
      </c>
      <c r="C91" s="47" t="s">
        <v>548</v>
      </c>
      <c r="D91" s="5">
        <v>66</v>
      </c>
      <c r="E91" s="8">
        <v>22039</v>
      </c>
      <c r="F91" t="s">
        <v>179</v>
      </c>
      <c r="G91" t="s">
        <v>179</v>
      </c>
      <c r="H91" s="9">
        <v>14300</v>
      </c>
      <c r="I91" s="9">
        <v>78000</v>
      </c>
      <c r="J91" s="5">
        <v>28</v>
      </c>
      <c r="K91" s="5" t="str">
        <f>IF(J91&lt;=10, "Baixo", IF(J91&lt;=25, "Médio", "Alto"))</f>
        <v>Alto</v>
      </c>
      <c r="L91" s="5" t="s">
        <v>874</v>
      </c>
      <c r="M91" s="2">
        <v>74500</v>
      </c>
      <c r="N91" s="5" t="str">
        <f>IF(A91="Inativo", "Inativo", IF(A91="", "Negado", IF(COUNTIF(C:C, C91)&gt;1, "Negado", IF(AND(K91="Alto", L91="S"), "Negado", "Aprovado"))))</f>
        <v>Inativo</v>
      </c>
      <c r="O91" s="5" t="str">
        <f>IF(A91="Inativo", "Inativo", IF(A91="", "Negado", IF(COUNTIF(C:C, C91)&gt;1, "Negado", IF(AND(I91&gt;50000, L91="S"), "Negado", "Aprovado"))))</f>
        <v>Inativo</v>
      </c>
      <c r="P91" s="2">
        <f>IF(OR(N91="Negado", O91="Negado", A91="", L91=""), 0, IF(A91="Ativo", M91*0.08, 0))</f>
        <v>0</v>
      </c>
    </row>
    <row r="92" spans="1:16">
      <c r="A92" s="5" t="s">
        <v>72</v>
      </c>
      <c r="B92" s="47" t="s">
        <v>192</v>
      </c>
      <c r="C92" s="47" t="s">
        <v>193</v>
      </c>
      <c r="D92" s="5">
        <v>65</v>
      </c>
      <c r="E92" s="8">
        <v>22236</v>
      </c>
      <c r="F92" t="s">
        <v>107</v>
      </c>
      <c r="G92" t="s">
        <v>108</v>
      </c>
      <c r="H92" s="9">
        <v>23400</v>
      </c>
      <c r="I92" s="9">
        <v>28000</v>
      </c>
      <c r="J92" s="5">
        <v>34</v>
      </c>
      <c r="K92" s="5" t="str">
        <f>IF(J92&lt;=10, "Baixo", IF(J92&lt;=25, "Médio", "Alto"))</f>
        <v>Alto</v>
      </c>
      <c r="L92" s="5" t="s">
        <v>874</v>
      </c>
      <c r="M92" s="2">
        <v>74000</v>
      </c>
      <c r="N92" s="5" t="str">
        <f>IF(A92="Inativo", "Inativo", IF(A92="", "Negado", IF(COUNTIF(C:C, C92)&gt;1, "Negado", IF(AND(K92="Alto", L92="S"), "Negado", "Aprovado"))))</f>
        <v>Aprovado</v>
      </c>
      <c r="O92" s="5" t="str">
        <f>IF(A92="Inativo", "Inativo", IF(A92="", "Negado", IF(COUNTIF(C:C, C92)&gt;1, "Negado", IF(AND(I92&gt;50000, L92="S"), "Negado", "Aprovado"))))</f>
        <v>Aprovado</v>
      </c>
      <c r="P92" s="2">
        <f>IF(OR(N92="Negado", O92="Negado", A92="", L92=""), 0, IF(A92="Ativo", M92*0.08, 0))</f>
        <v>5920</v>
      </c>
    </row>
    <row r="93" spans="1:16">
      <c r="A93" s="5" t="s">
        <v>72</v>
      </c>
      <c r="B93" s="47" t="s">
        <v>142</v>
      </c>
      <c r="C93" s="47" t="s">
        <v>913</v>
      </c>
      <c r="D93" s="5">
        <v>25</v>
      </c>
      <c r="E93" s="8">
        <v>36831</v>
      </c>
      <c r="F93" t="s">
        <v>143</v>
      </c>
      <c r="G93" t="s">
        <v>144</v>
      </c>
      <c r="H93" s="9">
        <v>9400</v>
      </c>
      <c r="I93" s="9">
        <v>51500</v>
      </c>
      <c r="J93" s="5">
        <v>14</v>
      </c>
      <c r="K93" s="5" t="str">
        <f>IF(J93&lt;=10, "Baixo", IF(J93&lt;=25, "Médio", "Alto"))</f>
        <v>Médio</v>
      </c>
      <c r="L93" s="5" t="s">
        <v>874</v>
      </c>
      <c r="M93" s="2">
        <v>74000</v>
      </c>
      <c r="N93" s="5" t="str">
        <f>IF(A93="Inativo", "Inativo", IF(A93="", "Negado", IF(COUNTIF(C:C, C93)&gt;1, "Negado", IF(AND(K93="Alto", L93="S"), "Negado", "Aprovado"))))</f>
        <v>Negado</v>
      </c>
      <c r="O93" s="5" t="str">
        <f>IF(A93="Inativo", "Inativo", IF(A93="", "Negado", IF(COUNTIF(C:C, C93)&gt;1, "Negado", IF(AND(I93&gt;50000, L93="S"), "Negado", "Aprovado"))))</f>
        <v>Negado</v>
      </c>
      <c r="P93" s="2">
        <f>IF(OR(N93="Negado", O93="Negado", A93="", L93=""), 0, IF(A93="Ativo", M93*0.08, 0))</f>
        <v>0</v>
      </c>
    </row>
    <row r="94" spans="1:16">
      <c r="A94" s="5" t="s">
        <v>72</v>
      </c>
      <c r="B94" s="47" t="s">
        <v>836</v>
      </c>
      <c r="C94" s="47" t="s">
        <v>837</v>
      </c>
      <c r="D94" s="5">
        <v>45</v>
      </c>
      <c r="E94" s="8">
        <v>29575</v>
      </c>
      <c r="F94" t="s">
        <v>122</v>
      </c>
      <c r="G94" t="s">
        <v>117</v>
      </c>
      <c r="H94" s="9">
        <v>16200</v>
      </c>
      <c r="I94" s="9">
        <v>59000</v>
      </c>
      <c r="J94" s="5">
        <v>4</v>
      </c>
      <c r="K94" s="5" t="str">
        <f>IF(J94&lt;=10, "Baixo", IF(J94&lt;=25, "Médio", "Alto"))</f>
        <v>Baixo</v>
      </c>
      <c r="L94" s="5" t="s">
        <v>874</v>
      </c>
      <c r="M94" s="2">
        <v>73500</v>
      </c>
      <c r="N94" s="5" t="str">
        <f>IF(A94="Inativo", "Inativo", IF(A94="", "Negado", IF(COUNTIF(C:C, C94)&gt;1, "Negado", IF(AND(K94="Alto", L94="S"), "Negado", "Aprovado"))))</f>
        <v>Aprovado</v>
      </c>
      <c r="O94" s="5" t="str">
        <f>IF(A94="Inativo", "Inativo", IF(A94="", "Negado", IF(COUNTIF(C:C, C94)&gt;1, "Negado", IF(AND(I94&gt;50000, L94="S"), "Negado", "Aprovado"))))</f>
        <v>Aprovado</v>
      </c>
      <c r="P94" s="2">
        <f>IF(OR(N94="Negado", O94="Negado", A94="", L94=""), 0, IF(A94="Ativo", M94*0.08, 0))</f>
        <v>5880</v>
      </c>
    </row>
    <row r="95" spans="1:16">
      <c r="A95" s="5" t="s">
        <v>72</v>
      </c>
      <c r="B95" s="47" t="s">
        <v>507</v>
      </c>
      <c r="C95" s="47" t="s">
        <v>508</v>
      </c>
      <c r="D95" s="5">
        <v>42</v>
      </c>
      <c r="E95" s="8">
        <v>30898</v>
      </c>
      <c r="F95" t="s">
        <v>98</v>
      </c>
      <c r="G95" t="s">
        <v>103</v>
      </c>
      <c r="H95" s="9">
        <v>20800</v>
      </c>
      <c r="I95" s="9">
        <v>54000</v>
      </c>
      <c r="J95" s="5">
        <v>4</v>
      </c>
      <c r="K95" s="5" t="str">
        <f>IF(J95&lt;=10, "Baixo", IF(J95&lt;=25, "Médio", "Alto"))</f>
        <v>Baixo</v>
      </c>
      <c r="L95" s="5" t="s">
        <v>874</v>
      </c>
      <c r="M95" s="2">
        <v>73500</v>
      </c>
      <c r="N95" s="5" t="str">
        <f>IF(A95="Inativo", "Inativo", IF(A95="", "Negado", IF(COUNTIF(C:C, C95)&gt;1, "Negado", IF(AND(K95="Alto", L95="S"), "Negado", "Aprovado"))))</f>
        <v>Aprovado</v>
      </c>
      <c r="O95" s="5" t="str">
        <f>IF(A95="Inativo", "Inativo", IF(A95="", "Negado", IF(COUNTIF(C:C, C95)&gt;1, "Negado", IF(AND(I95&gt;50000, L95="S"), "Negado", "Aprovado"))))</f>
        <v>Aprovado</v>
      </c>
      <c r="P95" s="2">
        <f>IF(OR(N95="Negado", O95="Negado", A95="", L95=""), 0, IF(A95="Ativo", M95*0.08, 0))</f>
        <v>5880</v>
      </c>
    </row>
    <row r="96" spans="1:16">
      <c r="A96" s="5" t="s">
        <v>72</v>
      </c>
      <c r="B96" s="47" t="s">
        <v>438</v>
      </c>
      <c r="C96" s="47" t="s">
        <v>914</v>
      </c>
      <c r="D96" s="5">
        <v>61</v>
      </c>
      <c r="E96" s="8">
        <v>23928</v>
      </c>
      <c r="F96" t="s">
        <v>300</v>
      </c>
      <c r="G96" t="s">
        <v>301</v>
      </c>
      <c r="H96" s="9">
        <v>22900</v>
      </c>
      <c r="I96" s="9">
        <v>7500</v>
      </c>
      <c r="J96" s="5">
        <v>12</v>
      </c>
      <c r="K96" s="5" t="str">
        <f>IF(J96&lt;=10, "Baixo", IF(J96&lt;=25, "Médio", "Alto"))</f>
        <v>Médio</v>
      </c>
      <c r="L96" s="5" t="s">
        <v>874</v>
      </c>
      <c r="M96" s="2">
        <v>73000</v>
      </c>
      <c r="N96" s="5" t="str">
        <f>IF(A96="Inativo", "Inativo", IF(A96="", "Negado", IF(COUNTIF(C:C, C96)&gt;1, "Negado", IF(AND(K96="Alto", L96="S"), "Negado", "Aprovado"))))</f>
        <v>Negado</v>
      </c>
      <c r="O96" s="5" t="str">
        <f>IF(A96="Inativo", "Inativo", IF(A96="", "Negado", IF(COUNTIF(C:C, C96)&gt;1, "Negado", IF(AND(I96&gt;50000, L96="S"), "Negado", "Aprovado"))))</f>
        <v>Negado</v>
      </c>
      <c r="P96" s="2">
        <f>IF(OR(N96="Negado", O96="Negado", A96="", L96=""), 0, IF(A96="Ativo", M96*0.08, 0))</f>
        <v>0</v>
      </c>
    </row>
    <row r="97" spans="1:16">
      <c r="A97" s="5" t="s">
        <v>77</v>
      </c>
      <c r="B97" s="47" t="s">
        <v>813</v>
      </c>
      <c r="C97" s="47" t="s">
        <v>915</v>
      </c>
      <c r="D97" s="5">
        <v>31</v>
      </c>
      <c r="E97" s="8">
        <v>34746</v>
      </c>
      <c r="F97" t="s">
        <v>122</v>
      </c>
      <c r="G97" t="s">
        <v>117</v>
      </c>
      <c r="H97" s="9">
        <v>18200</v>
      </c>
      <c r="I97" s="9">
        <v>78500</v>
      </c>
      <c r="J97" s="5">
        <v>9</v>
      </c>
      <c r="K97" s="5" t="str">
        <f>IF(J97&lt;=10, "Baixo", IF(J97&lt;=25, "Médio", "Alto"))</f>
        <v>Baixo</v>
      </c>
      <c r="L97" s="5" t="s">
        <v>874</v>
      </c>
      <c r="M97" s="2">
        <v>73000</v>
      </c>
      <c r="N97" s="5" t="str">
        <f>IF(A97="Inativo", "Inativo", IF(A97="", "Negado", IF(COUNTIF(C:C, C97)&gt;1, "Negado", IF(AND(K97="Alto", L97="S"), "Negado", "Aprovado"))))</f>
        <v>Inativo</v>
      </c>
      <c r="O97" s="5" t="str">
        <f>IF(A97="Inativo", "Inativo", IF(A97="", "Negado", IF(COUNTIF(C:C, C97)&gt;1, "Negado", IF(AND(I97&gt;50000, L97="S"), "Negado", "Aprovado"))))</f>
        <v>Inativo</v>
      </c>
      <c r="P97" s="2">
        <f>IF(OR(N97="Negado", O97="Negado", A97="", L97=""), 0, IF(A97="Ativo", M97*0.08, 0))</f>
        <v>0</v>
      </c>
    </row>
    <row r="98" spans="1:16">
      <c r="A98" s="5" t="s">
        <v>72</v>
      </c>
      <c r="B98" s="47" t="s">
        <v>349</v>
      </c>
      <c r="C98" s="47" t="s">
        <v>350</v>
      </c>
      <c r="D98" s="5">
        <v>69</v>
      </c>
      <c r="E98" s="8">
        <v>20725</v>
      </c>
      <c r="F98" t="s">
        <v>133</v>
      </c>
      <c r="G98" t="s">
        <v>134</v>
      </c>
      <c r="H98" s="9">
        <v>8100</v>
      </c>
      <c r="I98" s="9">
        <v>27500</v>
      </c>
      <c r="J98" s="5">
        <v>42</v>
      </c>
      <c r="K98" s="5" t="str">
        <f>IF(J98&lt;=10, "Baixo", IF(J98&lt;=25, "Médio", "Alto"))</f>
        <v>Alto</v>
      </c>
      <c r="L98" s="5" t="s">
        <v>874</v>
      </c>
      <c r="M98" s="2">
        <v>72500</v>
      </c>
      <c r="N98" s="5" t="str">
        <f>IF(A98="Inativo", "Inativo", IF(A98="", "Negado", IF(COUNTIF(C:C, C98)&gt;1, "Negado", IF(AND(K98="Alto", L98="S"), "Negado", "Aprovado"))))</f>
        <v>Aprovado</v>
      </c>
      <c r="O98" s="5" t="str">
        <f>IF(A98="Inativo", "Inativo", IF(A98="", "Negado", IF(COUNTIF(C:C, C98)&gt;1, "Negado", IF(AND(I98&gt;50000, L98="S"), "Negado", "Aprovado"))))</f>
        <v>Aprovado</v>
      </c>
      <c r="P98" s="2">
        <f>IF(OR(N98="Negado", O98="Negado", A98="", L98=""), 0, IF(A98="Ativo", M98*0.08, 0))</f>
        <v>5800</v>
      </c>
    </row>
    <row r="99" spans="1:16">
      <c r="A99" s="5" t="s">
        <v>72</v>
      </c>
      <c r="B99" s="47" t="s">
        <v>382</v>
      </c>
      <c r="C99" s="47" t="s">
        <v>916</v>
      </c>
      <c r="D99" s="5">
        <v>64</v>
      </c>
      <c r="E99" s="8">
        <v>22828</v>
      </c>
      <c r="F99" t="s">
        <v>164</v>
      </c>
      <c r="G99" t="s">
        <v>134</v>
      </c>
      <c r="H99" s="9">
        <v>2900</v>
      </c>
      <c r="I99" s="9">
        <v>76000</v>
      </c>
      <c r="J99" s="5">
        <v>32</v>
      </c>
      <c r="K99" s="5" t="str">
        <f>IF(J99&lt;=10, "Baixo", IF(J99&lt;=25, "Médio", "Alto"))</f>
        <v>Alto</v>
      </c>
      <c r="L99" s="5" t="s">
        <v>874</v>
      </c>
      <c r="M99" s="2">
        <v>72500</v>
      </c>
      <c r="N99" s="5" t="str">
        <f>IF(A99="Inativo", "Inativo", IF(A99="", "Negado", IF(COUNTIF(C:C, C99)&gt;1, "Negado", IF(AND(K99="Alto", L99="S"), "Negado", "Aprovado"))))</f>
        <v>Aprovado</v>
      </c>
      <c r="O99" s="5" t="str">
        <f>IF(A99="Inativo", "Inativo", IF(A99="", "Negado", IF(COUNTIF(C:C, C99)&gt;1, "Negado", IF(AND(I99&gt;50000, L99="S"), "Negado", "Aprovado"))))</f>
        <v>Aprovado</v>
      </c>
      <c r="P99" s="2">
        <f>IF(OR(N99="Negado", O99="Negado", A99="", L99=""), 0, IF(A99="Ativo", M99*0.08, 0))</f>
        <v>5800</v>
      </c>
    </row>
    <row r="100" spans="1:16">
      <c r="A100" s="5" t="s">
        <v>72</v>
      </c>
      <c r="B100" s="47" t="s">
        <v>917</v>
      </c>
      <c r="C100" s="47" t="s">
        <v>219</v>
      </c>
      <c r="D100" s="5">
        <v>28</v>
      </c>
      <c r="E100" s="8">
        <v>35887</v>
      </c>
      <c r="F100" t="s">
        <v>220</v>
      </c>
      <c r="G100" t="s">
        <v>411</v>
      </c>
      <c r="H100" s="9">
        <v>2000</v>
      </c>
      <c r="I100" s="9">
        <v>51000</v>
      </c>
      <c r="J100" s="5">
        <v>12</v>
      </c>
      <c r="K100" s="5" t="str">
        <f>IF(J100&lt;=10, "Baixo", IF(J100&lt;=25, "Médio", "Alto"))</f>
        <v>Médio</v>
      </c>
      <c r="L100" s="5" t="s">
        <v>874</v>
      </c>
      <c r="M100" s="2">
        <v>72500</v>
      </c>
      <c r="N100" s="5" t="str">
        <f>IF(A100="Inativo", "Inativo", IF(A100="", "Negado", IF(COUNTIF(C:C, C100)&gt;1, "Negado", IF(AND(K100="Alto", L100="S"), "Negado", "Aprovado"))))</f>
        <v>Aprovado</v>
      </c>
      <c r="O100" s="5" t="str">
        <f>IF(A100="Inativo", "Inativo", IF(A100="", "Negado", IF(COUNTIF(C:C, C100)&gt;1, "Negado", IF(AND(I100&gt;50000, L100="S"), "Negado", "Aprovado"))))</f>
        <v>Aprovado</v>
      </c>
      <c r="P100" s="2">
        <f>IF(OR(N100="Negado", O100="Negado", A100="", L100=""), 0, IF(A100="Ativo", M100*0.08, 0))</f>
        <v>5800</v>
      </c>
    </row>
    <row r="101" spans="1:16">
      <c r="A101" s="5" t="s">
        <v>72</v>
      </c>
      <c r="B101" s="47" t="s">
        <v>423</v>
      </c>
      <c r="C101" s="47" t="s">
        <v>424</v>
      </c>
      <c r="D101" s="5">
        <v>66</v>
      </c>
      <c r="E101" s="8">
        <v>22151</v>
      </c>
      <c r="F101" t="s">
        <v>143</v>
      </c>
      <c r="G101" t="s">
        <v>144</v>
      </c>
      <c r="H101" s="9">
        <v>11800</v>
      </c>
      <c r="I101" s="9">
        <v>2000</v>
      </c>
      <c r="J101" s="5">
        <v>23</v>
      </c>
      <c r="K101" s="5" t="str">
        <f>IF(J101&lt;=10, "Baixo", IF(J101&lt;=25, "Médio", "Alto"))</f>
        <v>Médio</v>
      </c>
      <c r="L101" s="5" t="s">
        <v>876</v>
      </c>
      <c r="M101" s="2">
        <v>72500</v>
      </c>
      <c r="N101" s="5" t="str">
        <f>IF(A101="Inativo", "Inativo", IF(A101="", "Negado", IF(COUNTIF(C:C, C101)&gt;1, "Negado", IF(AND(K101="Alto", L101="S"), "Negado", "Aprovado"))))</f>
        <v>Aprovado</v>
      </c>
      <c r="O101" s="5" t="str">
        <f>IF(A101="Inativo", "Inativo", IF(A101="", "Negado", IF(COUNTIF(C:C, C101)&gt;1, "Negado", IF(AND(I101&gt;50000, L101="S"), "Negado", "Aprovado"))))</f>
        <v>Aprovado</v>
      </c>
      <c r="P101" s="2">
        <f>IF(OR(N101="Negado", O101="Negado", A101="", L101=""), 0, IF(A101="Ativo", M101*0.08, 0))</f>
        <v>5800</v>
      </c>
    </row>
    <row r="102" spans="1:16">
      <c r="A102" s="5" t="s">
        <v>72</v>
      </c>
      <c r="B102" s="47" t="s">
        <v>771</v>
      </c>
      <c r="C102" s="47" t="s">
        <v>772</v>
      </c>
      <c r="D102" s="5">
        <v>31</v>
      </c>
      <c r="E102" s="8">
        <v>34769</v>
      </c>
      <c r="F102" t="s">
        <v>98</v>
      </c>
      <c r="G102" t="s">
        <v>103</v>
      </c>
      <c r="H102" s="9">
        <v>9000</v>
      </c>
      <c r="I102" s="9">
        <v>66000</v>
      </c>
      <c r="J102" s="5">
        <v>24</v>
      </c>
      <c r="K102" s="5" t="str">
        <f>IF(J102&lt;=10, "Baixo", IF(J102&lt;=25, "Médio", "Alto"))</f>
        <v>Médio</v>
      </c>
      <c r="L102" s="5" t="s">
        <v>874</v>
      </c>
      <c r="M102" s="2">
        <v>72000</v>
      </c>
      <c r="N102" s="5" t="str">
        <f>IF(A102="Inativo", "Inativo", IF(A102="", "Negado", IF(COUNTIF(C:C, C102)&gt;1, "Negado", IF(AND(K102="Alto", L102="S"), "Negado", "Aprovado"))))</f>
        <v>Aprovado</v>
      </c>
      <c r="O102" s="5" t="str">
        <f>IF(A102="Inativo", "Inativo", IF(A102="", "Negado", IF(COUNTIF(C:C, C102)&gt;1, "Negado", IF(AND(I102&gt;50000, L102="S"), "Negado", "Aprovado"))))</f>
        <v>Aprovado</v>
      </c>
      <c r="P102" s="2">
        <f>IF(OR(N102="Negado", O102="Negado", A102="", L102=""), 0, IF(A102="Ativo", M102*0.08, 0))</f>
        <v>5760</v>
      </c>
    </row>
    <row r="103" spans="1:16">
      <c r="A103" s="5" t="s">
        <v>72</v>
      </c>
      <c r="B103" s="47" t="s">
        <v>918</v>
      </c>
      <c r="C103" s="47" t="s">
        <v>313</v>
      </c>
      <c r="D103" s="5">
        <v>62</v>
      </c>
      <c r="E103" s="8">
        <v>23488</v>
      </c>
      <c r="F103" t="s">
        <v>75</v>
      </c>
      <c r="G103" t="s">
        <v>76</v>
      </c>
      <c r="H103" s="9">
        <v>0</v>
      </c>
      <c r="I103" s="9">
        <v>0</v>
      </c>
      <c r="J103" s="5">
        <v>38</v>
      </c>
      <c r="K103" s="5" t="str">
        <f>IF(J103&lt;=10, "Baixo", IF(J103&lt;=25, "Médio", "Alto"))</f>
        <v>Alto</v>
      </c>
      <c r="L103" s="5" t="s">
        <v>874</v>
      </c>
      <c r="M103" s="2">
        <v>72000</v>
      </c>
      <c r="N103" s="5" t="str">
        <f>IF(A103="Inativo", "Inativo", IF(A103="", "Negado", IF(COUNTIF(C:C, C103)&gt;1, "Negado", IF(AND(K103="Alto", L103="S"), "Negado", "Aprovado"))))</f>
        <v>Aprovado</v>
      </c>
      <c r="O103" s="5" t="str">
        <f>IF(A103="Inativo", "Inativo", IF(A103="", "Negado", IF(COUNTIF(C:C, C103)&gt;1, "Negado", IF(AND(I103&gt;50000, L103="S"), "Negado", "Aprovado"))))</f>
        <v>Aprovado</v>
      </c>
      <c r="P103" s="2">
        <f>IF(OR(N103="Negado", O103="Negado", A103="", L103=""), 0, IF(A103="Ativo", M103*0.08, 0))</f>
        <v>5760</v>
      </c>
    </row>
    <row r="104" spans="1:16">
      <c r="A104" s="5" t="s">
        <v>72</v>
      </c>
      <c r="B104" s="47" t="s">
        <v>749</v>
      </c>
      <c r="C104" s="47" t="s">
        <v>750</v>
      </c>
      <c r="D104" s="5">
        <v>49</v>
      </c>
      <c r="E104" s="8">
        <v>28067</v>
      </c>
      <c r="F104" t="s">
        <v>107</v>
      </c>
      <c r="G104" t="s">
        <v>108</v>
      </c>
      <c r="H104" s="9">
        <v>29800</v>
      </c>
      <c r="I104" s="9">
        <v>54500</v>
      </c>
      <c r="J104" s="5">
        <v>34</v>
      </c>
      <c r="K104" s="5" t="str">
        <f>IF(J104&lt;=10, "Baixo", IF(J104&lt;=25, "Médio", "Alto"))</f>
        <v>Alto</v>
      </c>
      <c r="L104" s="5" t="s">
        <v>874</v>
      </c>
      <c r="M104" s="2">
        <v>72000</v>
      </c>
      <c r="N104" s="5" t="str">
        <f>IF(A104="Inativo", "Inativo", IF(A104="", "Negado", IF(COUNTIF(C:C, C104)&gt;1, "Negado", IF(AND(K104="Alto", L104="S"), "Negado", "Aprovado"))))</f>
        <v>Aprovado</v>
      </c>
      <c r="O104" s="5" t="str">
        <f>IF(A104="Inativo", "Inativo", IF(A104="", "Negado", IF(COUNTIF(C:C, C104)&gt;1, "Negado", IF(AND(I104&gt;50000, L104="S"), "Negado", "Aprovado"))))</f>
        <v>Aprovado</v>
      </c>
      <c r="P104" s="2">
        <f>IF(OR(N104="Negado", O104="Negado", A104="", L104=""), 0, IF(A104="Ativo", M104*0.08, 0))</f>
        <v>5760</v>
      </c>
    </row>
    <row r="105" spans="1:16">
      <c r="A105" s="5" t="s">
        <v>77</v>
      </c>
      <c r="B105" s="47" t="s">
        <v>723</v>
      </c>
      <c r="C105" s="47" t="s">
        <v>899</v>
      </c>
      <c r="D105" s="5">
        <v>74</v>
      </c>
      <c r="E105" s="8">
        <v>19193</v>
      </c>
      <c r="F105" t="s">
        <v>168</v>
      </c>
      <c r="G105" t="s">
        <v>144</v>
      </c>
      <c r="H105" s="9">
        <v>12400</v>
      </c>
      <c r="I105" s="9">
        <v>36000</v>
      </c>
      <c r="J105" s="5">
        <v>3</v>
      </c>
      <c r="K105" s="5" t="str">
        <f>IF(J105&lt;=10, "Baixo", IF(J105&lt;=25, "Médio", "Alto"))</f>
        <v>Baixo</v>
      </c>
      <c r="L105" s="5" t="s">
        <v>874</v>
      </c>
      <c r="M105" s="2">
        <v>71500</v>
      </c>
      <c r="N105" s="5" t="str">
        <f>IF(A105="Inativo", "Inativo", IF(A105="", "Negado", IF(COUNTIF(C:C, C105)&gt;1, "Negado", IF(AND(K105="Alto", L105="S"), "Negado", "Aprovado"))))</f>
        <v>Inativo</v>
      </c>
      <c r="O105" s="5" t="str">
        <f>IF(A105="Inativo", "Inativo", IF(A105="", "Negado", IF(COUNTIF(C:C, C105)&gt;1, "Negado", IF(AND(I105&gt;50000, L105="S"), "Negado", "Aprovado"))))</f>
        <v>Inativo</v>
      </c>
      <c r="P105" s="2">
        <f>IF(OR(N105="Negado", O105="Negado", A105="", L105=""), 0, IF(A105="Ativo", M105*0.08, 0))</f>
        <v>0</v>
      </c>
    </row>
    <row r="106" spans="1:16">
      <c r="A106" s="5" t="s">
        <v>72</v>
      </c>
      <c r="B106" s="47" t="s">
        <v>919</v>
      </c>
      <c r="C106" s="47" t="s">
        <v>920</v>
      </c>
      <c r="D106" s="5">
        <v>56</v>
      </c>
      <c r="E106" s="8">
        <v>25578</v>
      </c>
      <c r="F106" t="s">
        <v>107</v>
      </c>
      <c r="G106" t="s">
        <v>108</v>
      </c>
      <c r="H106" s="9">
        <v>14900</v>
      </c>
      <c r="I106" s="9">
        <v>0</v>
      </c>
      <c r="J106" s="5">
        <v>13</v>
      </c>
      <c r="K106" s="5" t="str">
        <f>IF(J106&lt;=10, "Baixo", IF(J106&lt;=25, "Médio", "Alto"))</f>
        <v>Médio</v>
      </c>
      <c r="L106" s="5" t="s">
        <v>874</v>
      </c>
      <c r="M106" s="2">
        <v>71000</v>
      </c>
      <c r="N106" s="5" t="str">
        <f>IF(A106="Inativo", "Inativo", IF(A106="", "Negado", IF(COUNTIF(C:C, C106)&gt;1, "Negado", IF(AND(K106="Alto", L106="S"), "Negado", "Aprovado"))))</f>
        <v>Aprovado</v>
      </c>
      <c r="O106" s="5" t="str">
        <f>IF(A106="Inativo", "Inativo", IF(A106="", "Negado", IF(COUNTIF(C:C, C106)&gt;1, "Negado", IF(AND(I106&gt;50000, L106="S"), "Negado", "Aprovado"))))</f>
        <v>Aprovado</v>
      </c>
      <c r="P106" s="2">
        <f>IF(OR(N106="Negado", O106="Negado", A106="", L106=""), 0, IF(A106="Ativo", M106*0.08, 0))</f>
        <v>5680</v>
      </c>
    </row>
    <row r="107" spans="1:16">
      <c r="A107" s="5" t="s">
        <v>72</v>
      </c>
      <c r="B107" s="47" t="s">
        <v>565</v>
      </c>
      <c r="C107" s="47" t="s">
        <v>921</v>
      </c>
      <c r="D107" s="5">
        <v>35</v>
      </c>
      <c r="E107" s="8">
        <v>33440</v>
      </c>
      <c r="F107" t="s">
        <v>107</v>
      </c>
      <c r="G107" t="s">
        <v>108</v>
      </c>
      <c r="H107" s="9">
        <v>2000</v>
      </c>
      <c r="I107" s="9">
        <v>5500</v>
      </c>
      <c r="J107" s="5">
        <v>34</v>
      </c>
      <c r="K107" s="5" t="str">
        <f>IF(J107&lt;=10, "Baixo", IF(J107&lt;=25, "Médio", "Alto"))</f>
        <v>Alto</v>
      </c>
      <c r="L107" s="5" t="s">
        <v>874</v>
      </c>
      <c r="M107" s="2">
        <v>71000</v>
      </c>
      <c r="N107" s="5" t="str">
        <f>IF(A107="Inativo", "Inativo", IF(A107="", "Negado", IF(COUNTIF(C:C, C107)&gt;1, "Negado", IF(AND(K107="Alto", L107="S"), "Negado", "Aprovado"))))</f>
        <v>Aprovado</v>
      </c>
      <c r="O107" s="5" t="str">
        <f>IF(A107="Inativo", "Inativo", IF(A107="", "Negado", IF(COUNTIF(C:C, C107)&gt;1, "Negado", IF(AND(I107&gt;50000, L107="S"), "Negado", "Aprovado"))))</f>
        <v>Aprovado</v>
      </c>
      <c r="P107" s="2">
        <f>IF(OR(N107="Negado", O107="Negado", A107="", L107=""), 0, IF(A107="Ativo", M107*0.08, 0))</f>
        <v>5680</v>
      </c>
    </row>
    <row r="108" spans="1:16">
      <c r="A108" s="5" t="s">
        <v>72</v>
      </c>
      <c r="B108" s="47" t="s">
        <v>269</v>
      </c>
      <c r="C108" s="47" t="s">
        <v>270</v>
      </c>
      <c r="D108" s="5">
        <v>33</v>
      </c>
      <c r="E108" s="8">
        <v>34027</v>
      </c>
      <c r="F108" t="s">
        <v>122</v>
      </c>
      <c r="G108" t="s">
        <v>117</v>
      </c>
      <c r="H108" s="9">
        <v>3400</v>
      </c>
      <c r="I108" s="9">
        <v>0</v>
      </c>
      <c r="J108" s="5">
        <v>13</v>
      </c>
      <c r="K108" s="5" t="str">
        <f>IF(J108&lt;=10, "Baixo", IF(J108&lt;=25, "Médio", "Alto"))</f>
        <v>Médio</v>
      </c>
      <c r="L108" s="5" t="s">
        <v>874</v>
      </c>
      <c r="M108" s="2">
        <v>70000</v>
      </c>
      <c r="N108" s="5" t="str">
        <f>IF(A108="Inativo", "Inativo", IF(A108="", "Negado", IF(COUNTIF(C:C, C108)&gt;1, "Negado", IF(AND(K108="Alto", L108="S"), "Negado", "Aprovado"))))</f>
        <v>Aprovado</v>
      </c>
      <c r="O108" s="5" t="str">
        <f>IF(A108="Inativo", "Inativo", IF(A108="", "Negado", IF(COUNTIF(C:C, C108)&gt;1, "Negado", IF(AND(I108&gt;50000, L108="S"), "Negado", "Aprovado"))))</f>
        <v>Aprovado</v>
      </c>
      <c r="P108" s="2">
        <f>IF(OR(N108="Negado", O108="Negado", A108="", L108=""), 0, IF(A108="Ativo", M108*0.08, 0))</f>
        <v>5600</v>
      </c>
    </row>
    <row r="109" spans="1:16">
      <c r="A109" s="5" t="s">
        <v>72</v>
      </c>
      <c r="B109" s="47" t="s">
        <v>234</v>
      </c>
      <c r="C109" s="47" t="s">
        <v>922</v>
      </c>
      <c r="D109" s="5">
        <v>48</v>
      </c>
      <c r="E109" s="8">
        <v>28681</v>
      </c>
      <c r="F109" t="s">
        <v>179</v>
      </c>
      <c r="G109" s="1" t="s">
        <v>179</v>
      </c>
      <c r="H109" s="9">
        <v>15800</v>
      </c>
      <c r="I109" s="9">
        <v>0</v>
      </c>
      <c r="J109" s="5">
        <v>12</v>
      </c>
      <c r="K109" s="5" t="str">
        <f>IF(J109&lt;=10, "Baixo", IF(J109&lt;=25, "Médio", "Alto"))</f>
        <v>Médio</v>
      </c>
      <c r="L109" s="5" t="s">
        <v>874</v>
      </c>
      <c r="M109" s="2">
        <v>69500</v>
      </c>
      <c r="N109" s="5" t="str">
        <f>IF(A109="Inativo", "Inativo", IF(A109="", "Negado", IF(COUNTIF(C:C, C109)&gt;1, "Negado", IF(AND(K109="Alto", L109="S"), "Negado", "Aprovado"))))</f>
        <v>Aprovado</v>
      </c>
      <c r="O109" s="5" t="str">
        <f>IF(A109="Inativo", "Inativo", IF(A109="", "Negado", IF(COUNTIF(C:C, C109)&gt;1, "Negado", IF(AND(I109&gt;50000, L109="S"), "Negado", "Aprovado"))))</f>
        <v>Aprovado</v>
      </c>
      <c r="P109" s="2">
        <f>IF(OR(N109="Negado", O109="Negado", A109="", L109=""), 0, IF(A109="Ativo", M109*0.08, 0))</f>
        <v>5560</v>
      </c>
    </row>
    <row r="110" spans="1:16">
      <c r="A110" s="5" t="s">
        <v>72</v>
      </c>
      <c r="B110" s="47" t="s">
        <v>279</v>
      </c>
      <c r="C110" s="47" t="s">
        <v>280</v>
      </c>
      <c r="D110" s="5">
        <v>24</v>
      </c>
      <c r="E110" s="8">
        <v>37259</v>
      </c>
      <c r="F110" t="s">
        <v>179</v>
      </c>
      <c r="G110" t="s">
        <v>179</v>
      </c>
      <c r="H110" s="9">
        <v>25200</v>
      </c>
      <c r="I110" s="9">
        <v>0</v>
      </c>
      <c r="J110" s="5">
        <v>10</v>
      </c>
      <c r="K110" s="5" t="str">
        <f>IF(J110&lt;=10, "Baixo", IF(J110&lt;=25, "Médio", "Alto"))</f>
        <v>Baixo</v>
      </c>
      <c r="L110" s="5" t="s">
        <v>874</v>
      </c>
      <c r="M110" s="2">
        <v>69500</v>
      </c>
      <c r="N110" s="5" t="str">
        <f>IF(A110="Inativo", "Inativo", IF(A110="", "Negado", IF(COUNTIF(C:C, C110)&gt;1, "Negado", IF(AND(K110="Alto", L110="S"), "Negado", "Aprovado"))))</f>
        <v>Aprovado</v>
      </c>
      <c r="O110" s="5" t="str">
        <f>IF(A110="Inativo", "Inativo", IF(A110="", "Negado", IF(COUNTIF(C:C, C110)&gt;1, "Negado", IF(AND(I110&gt;50000, L110="S"), "Negado", "Aprovado"))))</f>
        <v>Aprovado</v>
      </c>
      <c r="P110" s="2">
        <f>IF(OR(N110="Negado", O110="Negado", A110="", L110=""), 0, IF(A110="Ativo", M110*0.08, 0))</f>
        <v>5560</v>
      </c>
    </row>
    <row r="111" spans="1:16">
      <c r="A111" s="5" t="s">
        <v>72</v>
      </c>
      <c r="B111" s="47" t="s">
        <v>145</v>
      </c>
      <c r="C111" s="47" t="s">
        <v>146</v>
      </c>
      <c r="D111" s="5">
        <v>23</v>
      </c>
      <c r="E111" s="8">
        <v>37627</v>
      </c>
      <c r="F111" t="s">
        <v>133</v>
      </c>
      <c r="G111" t="s">
        <v>134</v>
      </c>
      <c r="H111" s="9">
        <v>0</v>
      </c>
      <c r="I111" s="9">
        <v>69000</v>
      </c>
      <c r="J111" s="5">
        <v>20</v>
      </c>
      <c r="K111" s="5" t="str">
        <f>IF(J111&lt;=10, "Baixo", IF(J111&lt;=25, "Médio", "Alto"))</f>
        <v>Médio</v>
      </c>
      <c r="L111" s="5" t="s">
        <v>874</v>
      </c>
      <c r="M111" s="2">
        <v>69000</v>
      </c>
      <c r="N111" s="5" t="str">
        <f>IF(A111="Inativo", "Inativo", IF(A111="", "Negado", IF(COUNTIF(C:C, C111)&gt;1, "Negado", IF(AND(K111="Alto", L111="S"), "Negado", "Aprovado"))))</f>
        <v>Aprovado</v>
      </c>
      <c r="O111" s="5" t="str">
        <f>IF(A111="Inativo", "Inativo", IF(A111="", "Negado", IF(COUNTIF(C:C, C111)&gt;1, "Negado", IF(AND(I111&gt;50000, L111="S"), "Negado", "Aprovado"))))</f>
        <v>Aprovado</v>
      </c>
      <c r="P111" s="2">
        <f>IF(OR(N111="Negado", O111="Negado", A111="", L111=""), 0, IF(A111="Ativo", M111*0.08, 0))</f>
        <v>5520</v>
      </c>
    </row>
    <row r="112" spans="1:16">
      <c r="A112" s="5" t="s">
        <v>72</v>
      </c>
      <c r="B112" s="47" t="s">
        <v>817</v>
      </c>
      <c r="C112" s="47" t="s">
        <v>818</v>
      </c>
      <c r="D112" s="5">
        <v>60</v>
      </c>
      <c r="E112" s="8">
        <v>24272</v>
      </c>
      <c r="F112" t="s">
        <v>212</v>
      </c>
      <c r="G112" t="s">
        <v>144</v>
      </c>
      <c r="H112" s="9">
        <v>17300</v>
      </c>
      <c r="I112" s="9">
        <v>15000</v>
      </c>
      <c r="J112" s="5">
        <v>17</v>
      </c>
      <c r="K112" s="5" t="str">
        <f>IF(J112&lt;=10, "Baixo", IF(J112&lt;=25, "Médio", "Alto"))</f>
        <v>Médio</v>
      </c>
      <c r="L112" s="5" t="s">
        <v>874</v>
      </c>
      <c r="M112" s="2">
        <v>69000</v>
      </c>
      <c r="N112" s="5" t="str">
        <f>IF(A112="Inativo", "Inativo", IF(A112="", "Negado", IF(COUNTIF(C:C, C112)&gt;1, "Negado", IF(AND(K112="Alto", L112="S"), "Negado", "Aprovado"))))</f>
        <v>Aprovado</v>
      </c>
      <c r="O112" s="5" t="str">
        <f>IF(A112="Inativo", "Inativo", IF(A112="", "Negado", IF(COUNTIF(C:C, C112)&gt;1, "Negado", IF(AND(I112&gt;50000, L112="S"), "Negado", "Aprovado"))))</f>
        <v>Aprovado</v>
      </c>
      <c r="P112" s="2">
        <f>IF(OR(N112="Negado", O112="Negado", A112="", L112=""), 0, IF(A112="Ativo", M112*0.08, 0))</f>
        <v>5520</v>
      </c>
    </row>
    <row r="113" spans="1:16">
      <c r="A113" s="5" t="s">
        <v>72</v>
      </c>
      <c r="B113" s="47" t="s">
        <v>660</v>
      </c>
      <c r="C113" s="47" t="s">
        <v>923</v>
      </c>
      <c r="D113" s="5">
        <v>44</v>
      </c>
      <c r="E113" s="8">
        <v>29843</v>
      </c>
      <c r="F113" t="s">
        <v>84</v>
      </c>
      <c r="G113" t="s">
        <v>411</v>
      </c>
      <c r="H113" s="9">
        <v>11300</v>
      </c>
      <c r="I113" s="9">
        <v>55000</v>
      </c>
      <c r="J113" s="5">
        <v>38</v>
      </c>
      <c r="K113" s="5" t="str">
        <f>IF(J113&lt;=10, "Baixo", IF(J113&lt;=25, "Médio", "Alto"))</f>
        <v>Alto</v>
      </c>
      <c r="L113" s="5" t="s">
        <v>874</v>
      </c>
      <c r="M113" s="2">
        <v>68500</v>
      </c>
      <c r="N113" s="5" t="str">
        <f>IF(A113="Inativo", "Inativo", IF(A113="", "Negado", IF(COUNTIF(C:C, C113)&gt;1, "Negado", IF(AND(K113="Alto", L113="S"), "Negado", "Aprovado"))))</f>
        <v>Aprovado</v>
      </c>
      <c r="O113" s="5" t="str">
        <f>IF(A113="Inativo", "Inativo", IF(A113="", "Negado", IF(COUNTIF(C:C, C113)&gt;1, "Negado", IF(AND(I113&gt;50000, L113="S"), "Negado", "Aprovado"))))</f>
        <v>Aprovado</v>
      </c>
      <c r="P113" s="2">
        <f>IF(OR(N113="Negado", O113="Negado", A113="", L113=""), 0, IF(A113="Ativo", M113*0.08, 0))</f>
        <v>5480</v>
      </c>
    </row>
    <row r="114" spans="1:16">
      <c r="A114" s="5" t="s">
        <v>72</v>
      </c>
      <c r="B114" s="47" t="s">
        <v>615</v>
      </c>
      <c r="C114" s="47" t="s">
        <v>924</v>
      </c>
      <c r="D114" s="5">
        <v>74</v>
      </c>
      <c r="E114" s="8">
        <v>19131</v>
      </c>
      <c r="F114" t="s">
        <v>220</v>
      </c>
      <c r="G114" t="s">
        <v>411</v>
      </c>
      <c r="H114" s="9">
        <v>20700</v>
      </c>
      <c r="I114" s="9">
        <v>17500</v>
      </c>
      <c r="J114" s="5">
        <v>35</v>
      </c>
      <c r="K114" s="5" t="str">
        <f>IF(J114&lt;=10, "Baixo", IF(J114&lt;=25, "Médio", "Alto"))</f>
        <v>Alto</v>
      </c>
      <c r="L114" s="5" t="s">
        <v>874</v>
      </c>
      <c r="M114" s="2">
        <v>68500</v>
      </c>
      <c r="N114" s="5" t="str">
        <f>IF(A114="Inativo", "Inativo", IF(A114="", "Negado", IF(COUNTIF(C:C, C114)&gt;1, "Negado", IF(AND(K114="Alto", L114="S"), "Negado", "Aprovado"))))</f>
        <v>Negado</v>
      </c>
      <c r="O114" s="5" t="str">
        <f>IF(A114="Inativo", "Inativo", IF(A114="", "Negado", IF(COUNTIF(C:C, C114)&gt;1, "Negado", IF(AND(I114&gt;50000, L114="S"), "Negado", "Aprovado"))))</f>
        <v>Negado</v>
      </c>
      <c r="P114" s="2">
        <f>IF(OR(N114="Negado", O114="Negado", A114="", L114=""), 0, IF(A114="Ativo", M114*0.08, 0))</f>
        <v>0</v>
      </c>
    </row>
    <row r="115" spans="1:16">
      <c r="A115" s="5" t="s">
        <v>72</v>
      </c>
      <c r="B115" s="47" t="s">
        <v>925</v>
      </c>
      <c r="C115" s="47" t="s">
        <v>799</v>
      </c>
      <c r="D115" s="5">
        <v>32</v>
      </c>
      <c r="E115" s="8">
        <v>34508</v>
      </c>
      <c r="F115" t="s">
        <v>179</v>
      </c>
      <c r="G115" t="s">
        <v>179</v>
      </c>
      <c r="H115" s="9">
        <v>9800</v>
      </c>
      <c r="I115" s="9">
        <v>0</v>
      </c>
      <c r="J115" s="5">
        <v>23</v>
      </c>
      <c r="K115" s="5" t="str">
        <f>IF(J115&lt;=10, "Baixo", IF(J115&lt;=25, "Médio", "Alto"))</f>
        <v>Médio</v>
      </c>
      <c r="L115" s="5" t="s">
        <v>874</v>
      </c>
      <c r="M115" s="2">
        <v>68000</v>
      </c>
      <c r="N115" s="5" t="str">
        <f>IF(A115="Inativo", "Inativo", IF(A115="", "Negado", IF(COUNTIF(C:C, C115)&gt;1, "Negado", IF(AND(K115="Alto", L115="S"), "Negado", "Aprovado"))))</f>
        <v>Aprovado</v>
      </c>
      <c r="O115" s="5" t="str">
        <f>IF(A115="Inativo", "Inativo", IF(A115="", "Negado", IF(COUNTIF(C:C, C115)&gt;1, "Negado", IF(AND(I115&gt;50000, L115="S"), "Negado", "Aprovado"))))</f>
        <v>Aprovado</v>
      </c>
      <c r="P115" s="2">
        <f>IF(OR(N115="Negado", O115="Negado", A115="", L115=""), 0, IF(A115="Ativo", M115*0.08, 0))</f>
        <v>5440</v>
      </c>
    </row>
    <row r="116" spans="1:16">
      <c r="A116" s="5" t="s">
        <v>77</v>
      </c>
      <c r="B116" s="47" t="s">
        <v>446</v>
      </c>
      <c r="C116" s="47" t="s">
        <v>447</v>
      </c>
      <c r="D116" s="5">
        <v>63</v>
      </c>
      <c r="E116" s="8">
        <v>22924</v>
      </c>
      <c r="F116" t="s">
        <v>122</v>
      </c>
      <c r="G116" t="s">
        <v>117</v>
      </c>
      <c r="H116" s="9">
        <v>29000</v>
      </c>
      <c r="I116" s="9">
        <v>36500</v>
      </c>
      <c r="J116" s="5">
        <v>38</v>
      </c>
      <c r="K116" s="5" t="str">
        <f>IF(J116&lt;=10, "Baixo", IF(J116&lt;=25, "Médio", "Alto"))</f>
        <v>Alto</v>
      </c>
      <c r="L116" s="5" t="s">
        <v>874</v>
      </c>
      <c r="M116" s="2">
        <v>68000</v>
      </c>
      <c r="N116" s="5" t="str">
        <f>IF(A116="Inativo", "Inativo", IF(A116="", "Negado", IF(COUNTIF(C:C, C116)&gt;1, "Negado", IF(AND(K116="Alto", L116="S"), "Negado", "Aprovado"))))</f>
        <v>Inativo</v>
      </c>
      <c r="O116" s="5" t="str">
        <f>IF(A116="Inativo", "Inativo", IF(A116="", "Negado", IF(COUNTIF(C:C, C116)&gt;1, "Negado", IF(AND(I116&gt;50000, L116="S"), "Negado", "Aprovado"))))</f>
        <v>Inativo</v>
      </c>
      <c r="P116" s="2">
        <f>IF(OR(N116="Negado", O116="Negado", A116="", L116=""), 0, IF(A116="Ativo", M116*0.08, 0))</f>
        <v>0</v>
      </c>
    </row>
    <row r="117" spans="1:16">
      <c r="A117" s="5" t="s">
        <v>72</v>
      </c>
      <c r="B117" s="47" t="s">
        <v>819</v>
      </c>
      <c r="C117" s="47" t="s">
        <v>820</v>
      </c>
      <c r="D117" s="5">
        <v>49</v>
      </c>
      <c r="E117" s="8">
        <v>28136</v>
      </c>
      <c r="F117" t="s">
        <v>168</v>
      </c>
      <c r="G117" t="s">
        <v>144</v>
      </c>
      <c r="H117" s="9">
        <v>20300</v>
      </c>
      <c r="I117" s="9">
        <v>12000</v>
      </c>
      <c r="J117" s="5">
        <v>27</v>
      </c>
      <c r="K117" s="5" t="str">
        <f>IF(J117&lt;=10, "Baixo", IF(J117&lt;=25, "Médio", "Alto"))</f>
        <v>Alto</v>
      </c>
      <c r="L117" s="5" t="s">
        <v>876</v>
      </c>
      <c r="M117" s="2">
        <v>67500</v>
      </c>
      <c r="N117" s="5" t="str">
        <f>IF(A117="Inativo", "Inativo", IF(A117="", "Negado", IF(COUNTIF(C:C, C117)&gt;1, "Negado", IF(AND(K117="Alto", L117="S"), "Negado", "Aprovado"))))</f>
        <v>Negado</v>
      </c>
      <c r="O117" s="5" t="str">
        <f>IF(A117="Inativo", "Inativo", IF(A117="", "Negado", IF(COUNTIF(C:C, C117)&gt;1, "Negado", IF(AND(I117&gt;50000, L117="S"), "Negado", "Aprovado"))))</f>
        <v>Aprovado</v>
      </c>
      <c r="P117" s="2">
        <f>IF(OR(N117="Negado", O117="Negado", A117="", L117=""), 0, IF(A117="Ativo", M117*0.08, 0))</f>
        <v>0</v>
      </c>
    </row>
    <row r="118" spans="1:16">
      <c r="A118" s="5" t="s">
        <v>72</v>
      </c>
      <c r="B118" s="47" t="s">
        <v>527</v>
      </c>
      <c r="C118" s="47" t="s">
        <v>528</v>
      </c>
      <c r="D118" s="5">
        <v>55</v>
      </c>
      <c r="E118" s="8">
        <v>26103</v>
      </c>
      <c r="F118" t="s">
        <v>79</v>
      </c>
      <c r="G118" t="s">
        <v>301</v>
      </c>
      <c r="H118" s="9">
        <v>9600</v>
      </c>
      <c r="I118" s="9">
        <v>43000</v>
      </c>
      <c r="J118" s="5">
        <v>36</v>
      </c>
      <c r="K118" s="5" t="str">
        <f>IF(J118&lt;=10, "Baixo", IF(J118&lt;=25, "Médio", "Alto"))</f>
        <v>Alto</v>
      </c>
      <c r="L118" s="5" t="s">
        <v>874</v>
      </c>
      <c r="M118" s="2">
        <v>67500</v>
      </c>
      <c r="N118" s="5" t="str">
        <f>IF(A118="Inativo", "Inativo", IF(A118="", "Negado", IF(COUNTIF(C:C, C118)&gt;1, "Negado", IF(AND(K118="Alto", L118="S"), "Negado", "Aprovado"))))</f>
        <v>Aprovado</v>
      </c>
      <c r="O118" s="5" t="str">
        <f>IF(A118="Inativo", "Inativo", IF(A118="", "Negado", IF(COUNTIF(C:C, C118)&gt;1, "Negado", IF(AND(I118&gt;50000, L118="S"), "Negado", "Aprovado"))))</f>
        <v>Aprovado</v>
      </c>
      <c r="P118" s="2">
        <f>IF(OR(N118="Negado", O118="Negado", A118="", L118=""), 0, IF(A118="Ativo", M118*0.08, 0))</f>
        <v>5400</v>
      </c>
    </row>
    <row r="119" spans="1:16">
      <c r="A119" s="5" t="s">
        <v>72</v>
      </c>
      <c r="B119" s="47" t="s">
        <v>238</v>
      </c>
      <c r="C119" s="47" t="s">
        <v>239</v>
      </c>
      <c r="D119" s="5">
        <v>24</v>
      </c>
      <c r="E119" s="8">
        <v>37435</v>
      </c>
      <c r="F119" t="s">
        <v>240</v>
      </c>
      <c r="G119" t="s">
        <v>453</v>
      </c>
      <c r="H119" s="9">
        <v>6100</v>
      </c>
      <c r="I119" s="9">
        <v>0</v>
      </c>
      <c r="J119" s="5">
        <v>15</v>
      </c>
      <c r="K119" s="5" t="str">
        <f>IF(J119&lt;=10, "Baixo", IF(J119&lt;=25, "Médio", "Alto"))</f>
        <v>Médio</v>
      </c>
      <c r="L119" s="5" t="s">
        <v>874</v>
      </c>
      <c r="M119" s="2">
        <v>67000</v>
      </c>
      <c r="N119" s="5" t="str">
        <f>IF(A119="Inativo", "Inativo", IF(A119="", "Negado", IF(COUNTIF(C:C, C119)&gt;1, "Negado", IF(AND(K119="Alto", L119="S"), "Negado", "Aprovado"))))</f>
        <v>Aprovado</v>
      </c>
      <c r="O119" s="5" t="str">
        <f>IF(A119="Inativo", "Inativo", IF(A119="", "Negado", IF(COUNTIF(C:C, C119)&gt;1, "Negado", IF(AND(I119&gt;50000, L119="S"), "Negado", "Aprovado"))))</f>
        <v>Aprovado</v>
      </c>
      <c r="P119" s="2">
        <f>IF(OR(N119="Negado", O119="Negado", A119="", L119=""), 0, IF(A119="Ativo", M119*0.08, 0))</f>
        <v>5360</v>
      </c>
    </row>
    <row r="120" spans="1:16">
      <c r="A120" s="5" t="s">
        <v>72</v>
      </c>
      <c r="B120" s="47" t="s">
        <v>745</v>
      </c>
      <c r="C120" s="47" t="s">
        <v>746</v>
      </c>
      <c r="D120" s="5">
        <v>51</v>
      </c>
      <c r="E120" s="8">
        <v>27378</v>
      </c>
      <c r="F120" t="s">
        <v>179</v>
      </c>
      <c r="G120" t="s">
        <v>179</v>
      </c>
      <c r="H120" s="9">
        <v>11600</v>
      </c>
      <c r="I120" s="9">
        <v>41000</v>
      </c>
      <c r="J120" s="5">
        <v>7</v>
      </c>
      <c r="K120" s="5" t="str">
        <f>IF(J120&lt;=10, "Baixo", IF(J120&lt;=25, "Médio", "Alto"))</f>
        <v>Baixo</v>
      </c>
      <c r="L120" s="5" t="s">
        <v>874</v>
      </c>
      <c r="M120" s="2">
        <v>67000</v>
      </c>
      <c r="N120" s="5" t="str">
        <f>IF(A120="Inativo", "Inativo", IF(A120="", "Negado", IF(COUNTIF(C:C, C120)&gt;1, "Negado", IF(AND(K120="Alto", L120="S"), "Negado", "Aprovado"))))</f>
        <v>Aprovado</v>
      </c>
      <c r="O120" s="5" t="str">
        <f>IF(A120="Inativo", "Inativo", IF(A120="", "Negado", IF(COUNTIF(C:C, C120)&gt;1, "Negado", IF(AND(I120&gt;50000, L120="S"), "Negado", "Aprovado"))))</f>
        <v>Aprovado</v>
      </c>
      <c r="P120" s="2">
        <f>IF(OR(N120="Negado", O120="Negado", A120="", L120=""), 0, IF(A120="Ativo", M120*0.08, 0))</f>
        <v>5360</v>
      </c>
    </row>
    <row r="121" spans="1:16">
      <c r="A121" s="5" t="s">
        <v>77</v>
      </c>
      <c r="B121" s="47" t="s">
        <v>135</v>
      </c>
      <c r="C121" s="47" t="s">
        <v>926</v>
      </c>
      <c r="D121" s="5">
        <v>43</v>
      </c>
      <c r="E121" s="8">
        <v>30391</v>
      </c>
      <c r="F121" t="s">
        <v>136</v>
      </c>
      <c r="G121" t="s">
        <v>137</v>
      </c>
      <c r="H121" s="9">
        <v>7100</v>
      </c>
      <c r="I121" s="9">
        <v>5500</v>
      </c>
      <c r="J121" s="5">
        <v>23</v>
      </c>
      <c r="K121" s="5" t="str">
        <f>IF(J121&lt;=10, "Baixo", IF(J121&lt;=25, "Médio", "Alto"))</f>
        <v>Médio</v>
      </c>
      <c r="L121" s="5" t="s">
        <v>874</v>
      </c>
      <c r="M121" s="2">
        <v>67000</v>
      </c>
      <c r="N121" s="5" t="str">
        <f>IF(A121="Inativo", "Inativo", IF(A121="", "Negado", IF(COUNTIF(C:C, C121)&gt;1, "Negado", IF(AND(K121="Alto", L121="S"), "Negado", "Aprovado"))))</f>
        <v>Inativo</v>
      </c>
      <c r="O121" s="5" t="str">
        <f>IF(A121="Inativo", "Inativo", IF(A121="", "Negado", IF(COUNTIF(C:C, C121)&gt;1, "Negado", IF(AND(I121&gt;50000, L121="S"), "Negado", "Aprovado"))))</f>
        <v>Inativo</v>
      </c>
      <c r="P121" s="2">
        <f>IF(OR(N121="Negado", O121="Negado", A121="", L121=""), 0, IF(A121="Ativo", M121*0.08, 0))</f>
        <v>0</v>
      </c>
    </row>
    <row r="122" spans="1:16">
      <c r="A122" s="5" t="s">
        <v>72</v>
      </c>
      <c r="B122" s="47" t="s">
        <v>492</v>
      </c>
      <c r="C122" s="47" t="s">
        <v>493</v>
      </c>
      <c r="D122" s="5">
        <v>26</v>
      </c>
      <c r="E122" s="8">
        <v>36619</v>
      </c>
      <c r="F122" t="s">
        <v>164</v>
      </c>
      <c r="G122" t="s">
        <v>134</v>
      </c>
      <c r="H122" s="9">
        <v>26800</v>
      </c>
      <c r="I122" s="9">
        <v>42500</v>
      </c>
      <c r="J122" s="5">
        <v>29</v>
      </c>
      <c r="K122" s="5" t="str">
        <f>IF(J122&lt;=10, "Baixo", IF(J122&lt;=25, "Médio", "Alto"))</f>
        <v>Alto</v>
      </c>
      <c r="L122" s="5" t="s">
        <v>876</v>
      </c>
      <c r="M122" s="2">
        <v>66000</v>
      </c>
      <c r="N122" s="5" t="str">
        <f>IF(A122="Inativo", "Inativo", IF(A122="", "Negado", IF(COUNTIF(C:C, C122)&gt;1, "Negado", IF(AND(K122="Alto", L122="S"), "Negado", "Aprovado"))))</f>
        <v>Negado</v>
      </c>
      <c r="O122" s="5" t="str">
        <f>IF(A122="Inativo", "Inativo", IF(A122="", "Negado", IF(COUNTIF(C:C, C122)&gt;1, "Negado", IF(AND(I122&gt;50000, L122="S"), "Negado", "Aprovado"))))</f>
        <v>Aprovado</v>
      </c>
      <c r="P122" s="2">
        <f>IF(OR(N122="Negado", O122="Negado", A122="", L122=""), 0, IF(A122="Ativo", M122*0.08, 0))</f>
        <v>0</v>
      </c>
    </row>
    <row r="123" spans="1:16">
      <c r="A123" s="5" t="s">
        <v>72</v>
      </c>
      <c r="B123" s="47" t="s">
        <v>347</v>
      </c>
      <c r="C123" s="47" t="s">
        <v>348</v>
      </c>
      <c r="D123" s="5">
        <v>29</v>
      </c>
      <c r="E123" s="8">
        <v>35600</v>
      </c>
      <c r="F123" t="s">
        <v>220</v>
      </c>
      <c r="G123" t="s">
        <v>411</v>
      </c>
      <c r="H123" s="9">
        <v>10000</v>
      </c>
      <c r="I123" s="9">
        <v>25500</v>
      </c>
      <c r="J123" s="5">
        <v>15</v>
      </c>
      <c r="K123" s="5" t="str">
        <f>IF(J123&lt;=10, "Baixo", IF(J123&lt;=25, "Médio", "Alto"))</f>
        <v>Médio</v>
      </c>
      <c r="L123" s="5" t="s">
        <v>874</v>
      </c>
      <c r="M123" s="2">
        <v>66000</v>
      </c>
      <c r="N123" s="5" t="str">
        <f>IF(A123="Inativo", "Inativo", IF(A123="", "Negado", IF(COUNTIF(C:C, C123)&gt;1, "Negado", IF(AND(K123="Alto", L123="S"), "Negado", "Aprovado"))))</f>
        <v>Aprovado</v>
      </c>
      <c r="O123" s="5" t="str">
        <f>IF(A123="Inativo", "Inativo", IF(A123="", "Negado", IF(COUNTIF(C:C, C123)&gt;1, "Negado", IF(AND(I123&gt;50000, L123="S"), "Negado", "Aprovado"))))</f>
        <v>Aprovado</v>
      </c>
      <c r="P123" s="2">
        <f>IF(OR(N123="Negado", O123="Negado", A123="", L123=""), 0, IF(A123="Ativo", M123*0.08, 0))</f>
        <v>5280</v>
      </c>
    </row>
    <row r="124" spans="1:16">
      <c r="A124" s="5" t="s">
        <v>77</v>
      </c>
      <c r="B124" s="47" t="s">
        <v>425</v>
      </c>
      <c r="C124" s="47" t="s">
        <v>426</v>
      </c>
      <c r="D124" s="5">
        <v>29</v>
      </c>
      <c r="E124" s="8">
        <v>35607</v>
      </c>
      <c r="F124" t="s">
        <v>149</v>
      </c>
      <c r="G124" t="s">
        <v>137</v>
      </c>
      <c r="H124" s="9">
        <v>13800</v>
      </c>
      <c r="I124" s="9">
        <v>41500</v>
      </c>
      <c r="J124" s="5">
        <v>34</v>
      </c>
      <c r="K124" s="5" t="str">
        <f>IF(J124&lt;=10, "Baixo", IF(J124&lt;=25, "Médio", "Alto"))</f>
        <v>Alto</v>
      </c>
      <c r="L124" s="5" t="s">
        <v>874</v>
      </c>
      <c r="M124" s="2">
        <v>66000</v>
      </c>
      <c r="N124" s="5" t="str">
        <f>IF(A124="Inativo", "Inativo", IF(A124="", "Negado", IF(COUNTIF(C:C, C124)&gt;1, "Negado", IF(AND(K124="Alto", L124="S"), "Negado", "Aprovado"))))</f>
        <v>Inativo</v>
      </c>
      <c r="O124" s="5" t="str">
        <f>IF(A124="Inativo", "Inativo", IF(A124="", "Negado", IF(COUNTIF(C:C, C124)&gt;1, "Negado", IF(AND(I124&gt;50000, L124="S"), "Negado", "Aprovado"))))</f>
        <v>Inativo</v>
      </c>
      <c r="P124" s="2">
        <f>IF(OR(N124="Negado", O124="Negado", A124="", L124=""), 0, IF(A124="Ativo", M124*0.08, 0))</f>
        <v>0</v>
      </c>
    </row>
    <row r="125" spans="1:16">
      <c r="A125" s="5" t="s">
        <v>77</v>
      </c>
      <c r="B125" s="47" t="s">
        <v>765</v>
      </c>
      <c r="C125" s="47" t="s">
        <v>927</v>
      </c>
      <c r="D125" s="5">
        <v>48</v>
      </c>
      <c r="E125" s="8">
        <v>28446</v>
      </c>
      <c r="F125" t="s">
        <v>84</v>
      </c>
      <c r="G125" t="s">
        <v>411</v>
      </c>
      <c r="H125" s="9">
        <v>6900</v>
      </c>
      <c r="I125" s="9">
        <v>52500</v>
      </c>
      <c r="J125" s="5">
        <v>0</v>
      </c>
      <c r="K125" s="5" t="str">
        <f>IF(J125&lt;=10, "Baixo", IF(J125&lt;=25, "Médio", "Alto"))</f>
        <v>Baixo</v>
      </c>
      <c r="L125" s="5" t="s">
        <v>876</v>
      </c>
      <c r="M125" s="2">
        <v>66000</v>
      </c>
      <c r="N125" s="5" t="str">
        <f>IF(A125="Inativo", "Inativo", IF(A125="", "Negado", IF(COUNTIF(C:C, C125)&gt;1, "Negado", IF(AND(K125="Alto", L125="S"), "Negado", "Aprovado"))))</f>
        <v>Inativo</v>
      </c>
      <c r="O125" s="5" t="str">
        <f>IF(A125="Inativo", "Inativo", IF(A125="", "Negado", IF(COUNTIF(C:C, C125)&gt;1, "Negado", IF(AND(I125&gt;50000, L125="S"), "Negado", "Aprovado"))))</f>
        <v>Inativo</v>
      </c>
      <c r="P125" s="2">
        <f>IF(OR(N125="Negado", O125="Negado", A125="", L125=""), 0, IF(A125="Ativo", M125*0.08, 0))</f>
        <v>0</v>
      </c>
    </row>
    <row r="126" spans="1:16">
      <c r="A126" s="5" t="s">
        <v>72</v>
      </c>
      <c r="B126" s="47" t="s">
        <v>236</v>
      </c>
      <c r="C126" s="47" t="s">
        <v>237</v>
      </c>
      <c r="D126" s="5">
        <v>70</v>
      </c>
      <c r="E126" s="8">
        <v>20570</v>
      </c>
      <c r="F126" t="s">
        <v>122</v>
      </c>
      <c r="G126" t="s">
        <v>117</v>
      </c>
      <c r="H126" s="9">
        <v>16300</v>
      </c>
      <c r="I126" s="9">
        <v>16500</v>
      </c>
      <c r="J126" s="5">
        <v>25</v>
      </c>
      <c r="K126" s="5" t="str">
        <f>IF(J126&lt;=10, "Baixo", IF(J126&lt;=25, "Médio", "Alto"))</f>
        <v>Médio</v>
      </c>
      <c r="L126" s="5" t="s">
        <v>874</v>
      </c>
      <c r="M126" s="2">
        <v>65500</v>
      </c>
      <c r="N126" s="5" t="str">
        <f>IF(A126="Inativo", "Inativo", IF(A126="", "Negado", IF(COUNTIF(C:C, C126)&gt;1, "Negado", IF(AND(K126="Alto", L126="S"), "Negado", "Aprovado"))))</f>
        <v>Aprovado</v>
      </c>
      <c r="O126" s="5" t="str">
        <f>IF(A126="Inativo", "Inativo", IF(A126="", "Negado", IF(COUNTIF(C:C, C126)&gt;1, "Negado", IF(AND(I126&gt;50000, L126="S"), "Negado", "Aprovado"))))</f>
        <v>Aprovado</v>
      </c>
      <c r="P126" s="2">
        <f>IF(OR(N126="Negado", O126="Negado", A126="", L126=""), 0, IF(A126="Ativo", M126*0.08, 0))</f>
        <v>5240</v>
      </c>
    </row>
    <row r="127" spans="1:16">
      <c r="A127" s="5" t="s">
        <v>77</v>
      </c>
      <c r="B127" s="47" t="s">
        <v>928</v>
      </c>
      <c r="C127" s="47" t="s">
        <v>353</v>
      </c>
      <c r="D127" s="5">
        <v>30</v>
      </c>
      <c r="E127" s="8">
        <v>35200</v>
      </c>
      <c r="F127" t="s">
        <v>122</v>
      </c>
      <c r="G127" t="s">
        <v>117</v>
      </c>
      <c r="H127" s="9">
        <v>26500</v>
      </c>
      <c r="I127" s="9">
        <v>14500</v>
      </c>
      <c r="J127" s="5">
        <v>15</v>
      </c>
      <c r="K127" s="5" t="str">
        <f>IF(J127&lt;=10, "Baixo", IF(J127&lt;=25, "Médio", "Alto"))</f>
        <v>Médio</v>
      </c>
      <c r="L127" s="5" t="s">
        <v>874</v>
      </c>
      <c r="M127" s="2">
        <v>65500</v>
      </c>
      <c r="N127" s="5" t="str">
        <f>IF(A127="Inativo", "Inativo", IF(A127="", "Negado", IF(COUNTIF(C:C, C127)&gt;1, "Negado", IF(AND(K127="Alto", L127="S"), "Negado", "Aprovado"))))</f>
        <v>Inativo</v>
      </c>
      <c r="O127" s="5" t="str">
        <f>IF(A127="Inativo", "Inativo", IF(A127="", "Negado", IF(COUNTIF(C:C, C127)&gt;1, "Negado", IF(AND(I127&gt;50000, L127="S"), "Negado", "Aprovado"))))</f>
        <v>Inativo</v>
      </c>
      <c r="P127" s="2">
        <f>IF(OR(N127="Negado", O127="Negado", A127="", L127=""), 0, IF(A127="Ativo", M127*0.08, 0))</f>
        <v>0</v>
      </c>
    </row>
    <row r="128" spans="1:16">
      <c r="A128" s="5" t="s">
        <v>77</v>
      </c>
      <c r="B128" s="47" t="s">
        <v>685</v>
      </c>
      <c r="C128" s="47" t="s">
        <v>686</v>
      </c>
      <c r="D128" s="5">
        <v>48</v>
      </c>
      <c r="E128" s="8">
        <v>28737</v>
      </c>
      <c r="F128" t="s">
        <v>220</v>
      </c>
      <c r="G128" t="s">
        <v>411</v>
      </c>
      <c r="H128" s="9">
        <v>12400</v>
      </c>
      <c r="I128" s="9">
        <v>0</v>
      </c>
      <c r="J128" s="5">
        <v>25</v>
      </c>
      <c r="K128" s="5" t="str">
        <f>IF(J128&lt;=10, "Baixo", IF(J128&lt;=25, "Médio", "Alto"))</f>
        <v>Médio</v>
      </c>
      <c r="L128" s="5" t="s">
        <v>874</v>
      </c>
      <c r="M128" s="2">
        <v>65500</v>
      </c>
      <c r="N128" s="5" t="str">
        <f>IF(A128="Inativo", "Inativo", IF(A128="", "Negado", IF(COUNTIF(C:C, C128)&gt;1, "Negado", IF(AND(K128="Alto", L128="S"), "Negado", "Aprovado"))))</f>
        <v>Inativo</v>
      </c>
      <c r="O128" s="5" t="str">
        <f>IF(A128="Inativo", "Inativo", IF(A128="", "Negado", IF(COUNTIF(C:C, C128)&gt;1, "Negado", IF(AND(I128&gt;50000, L128="S"), "Negado", "Aprovado"))))</f>
        <v>Inativo</v>
      </c>
      <c r="P128" s="2">
        <f>IF(OR(N128="Negado", O128="Negado", A128="", L128=""), 0, IF(A128="Ativo", M128*0.08, 0))</f>
        <v>0</v>
      </c>
    </row>
    <row r="129" spans="1:16">
      <c r="A129" s="5" t="s">
        <v>72</v>
      </c>
      <c r="B129" s="47" t="s">
        <v>93</v>
      </c>
      <c r="C129" s="47" t="s">
        <v>94</v>
      </c>
      <c r="D129" s="5">
        <v>32</v>
      </c>
      <c r="E129" s="8">
        <v>34299</v>
      </c>
      <c r="F129" t="s">
        <v>75</v>
      </c>
      <c r="G129" t="s">
        <v>76</v>
      </c>
      <c r="H129" s="9">
        <v>30000</v>
      </c>
      <c r="I129" s="9">
        <v>0</v>
      </c>
      <c r="J129" s="5">
        <v>5</v>
      </c>
      <c r="K129" s="5" t="str">
        <f>IF(J129&lt;=10, "Baixo", IF(J129&lt;=25, "Médio", "Alto"))</f>
        <v>Baixo</v>
      </c>
      <c r="L129" s="5" t="s">
        <v>874</v>
      </c>
      <c r="M129" s="2">
        <v>65000</v>
      </c>
      <c r="N129" s="5" t="str">
        <f>IF(A129="Inativo", "Inativo", IF(A129="", "Negado", IF(COUNTIF(C:C, C129)&gt;1, "Negado", IF(AND(K129="Alto", L129="S"), "Negado", "Aprovado"))))</f>
        <v>Aprovado</v>
      </c>
      <c r="O129" s="5" t="str">
        <f>IF(A129="Inativo", "Inativo", IF(A129="", "Negado", IF(COUNTIF(C:C, C129)&gt;1, "Negado", IF(AND(I129&gt;50000, L129="S"), "Negado", "Aprovado"))))</f>
        <v>Aprovado</v>
      </c>
      <c r="P129" s="2">
        <f>IF(OR(N129="Negado", O129="Negado", A129="", L129=""), 0, IF(A129="Ativo", M129*0.08, 0))</f>
        <v>5200</v>
      </c>
    </row>
    <row r="130" spans="1:16">
      <c r="A130" s="5" t="s">
        <v>72</v>
      </c>
      <c r="B130" t="s">
        <v>615</v>
      </c>
      <c r="C130" t="s">
        <v>924</v>
      </c>
      <c r="D130" s="5">
        <v>74</v>
      </c>
      <c r="E130" s="8">
        <v>19131</v>
      </c>
      <c r="F130" t="s">
        <v>220</v>
      </c>
      <c r="G130" t="s">
        <v>411</v>
      </c>
      <c r="H130" s="2">
        <v>20700</v>
      </c>
      <c r="I130" s="2">
        <v>17500</v>
      </c>
      <c r="J130" s="5">
        <v>35</v>
      </c>
      <c r="K130" s="5" t="s">
        <v>929</v>
      </c>
      <c r="L130" s="5" t="s">
        <v>874</v>
      </c>
      <c r="M130" s="2">
        <v>65000</v>
      </c>
      <c r="N130" s="5" t="str">
        <f>IF(A130="Inativo", "Inativo", IF(A130="", "Negado", IF(COUNTIF(C:C, C130)&gt;1, "Negado", IF(AND(K130="Alto", L130="S"), "Negado", "Aprovado"))))</f>
        <v>Negado</v>
      </c>
      <c r="O130" s="5" t="str">
        <f>IF(A130="Inativo", "Inativo", IF(A130="", "Negado", IF(COUNTIF(C:C, C130)&gt;1, "Negado", IF(AND(I130&gt;50000, L130="S"), "Negado", "Aprovado"))))</f>
        <v>Negado</v>
      </c>
      <c r="P130" s="2">
        <f>IF(OR(N130="Negado", O130="Negado", A130="", L130=""), 0, IF(A130="Ativo", M130*0.08, 0))</f>
        <v>0</v>
      </c>
    </row>
    <row r="131" spans="1:16">
      <c r="A131" s="5" t="s">
        <v>72</v>
      </c>
      <c r="B131" s="47" t="s">
        <v>930</v>
      </c>
      <c r="C131" s="47" t="s">
        <v>282</v>
      </c>
      <c r="D131" s="5">
        <v>55</v>
      </c>
      <c r="E131" s="8">
        <v>26104</v>
      </c>
      <c r="F131" t="s">
        <v>107</v>
      </c>
      <c r="G131" t="s">
        <v>108</v>
      </c>
      <c r="H131" s="9">
        <v>22100</v>
      </c>
      <c r="I131" s="9">
        <v>41500</v>
      </c>
      <c r="J131" s="5">
        <v>18</v>
      </c>
      <c r="K131" s="5" t="str">
        <f>IF(J131&lt;=10, "Baixo", IF(J131&lt;=25, "Médio", "Alto"))</f>
        <v>Médio</v>
      </c>
      <c r="L131" s="5" t="s">
        <v>874</v>
      </c>
      <c r="M131" s="2">
        <v>65000</v>
      </c>
      <c r="N131" s="5" t="str">
        <f>IF(A131="Inativo", "Inativo", IF(A131="", "Negado", IF(COUNTIF(C:C, C131)&gt;1, "Negado", IF(AND(K131="Alto", L131="S"), "Negado", "Aprovado"))))</f>
        <v>Aprovado</v>
      </c>
      <c r="O131" s="5" t="str">
        <f>IF(A131="Inativo", "Inativo", IF(A131="", "Negado", IF(COUNTIF(C:C, C131)&gt;1, "Negado", IF(AND(I131&gt;50000, L131="S"), "Negado", "Aprovado"))))</f>
        <v>Aprovado</v>
      </c>
      <c r="P131" s="2">
        <f>IF(OR(N131="Negado", O131="Negado", A131="", L131=""), 0, IF(A131="Ativo", M131*0.08, 0))</f>
        <v>5200</v>
      </c>
    </row>
    <row r="132" spans="1:16">
      <c r="A132" s="5" t="s">
        <v>77</v>
      </c>
      <c r="B132" s="47" t="s">
        <v>931</v>
      </c>
      <c r="C132" s="47" t="s">
        <v>932</v>
      </c>
      <c r="D132" s="5">
        <v>50</v>
      </c>
      <c r="E132" s="8">
        <v>27833</v>
      </c>
      <c r="F132" t="s">
        <v>133</v>
      </c>
      <c r="G132" s="1" t="s">
        <v>134</v>
      </c>
      <c r="H132" s="9">
        <v>16200</v>
      </c>
      <c r="I132" s="9">
        <v>25000</v>
      </c>
      <c r="J132" s="5">
        <v>26</v>
      </c>
      <c r="K132" s="5" t="str">
        <f>IF(J132&lt;=10, "Baixo", IF(J132&lt;=25, "Médio", "Alto"))</f>
        <v>Alto</v>
      </c>
      <c r="L132" s="5" t="s">
        <v>874</v>
      </c>
      <c r="M132" s="2">
        <v>65000</v>
      </c>
      <c r="N132" s="5" t="str">
        <f>IF(A132="Inativo", "Inativo", IF(A132="", "Negado", IF(COUNTIF(C:C, C132)&gt;1, "Negado", IF(AND(K132="Alto", L132="S"), "Negado", "Aprovado"))))</f>
        <v>Inativo</v>
      </c>
      <c r="O132" s="5" t="str">
        <f>IF(A132="Inativo", "Inativo", IF(A132="", "Negado", IF(COUNTIF(C:C, C132)&gt;1, "Negado", IF(AND(I132&gt;50000, L132="S"), "Negado", "Aprovado"))))</f>
        <v>Inativo</v>
      </c>
      <c r="P132" s="2">
        <f>IF(OR(N132="Negado", O132="Negado", A132="", L132=""), 0, IF(A132="Ativo", M132*0.08, 0))</f>
        <v>0</v>
      </c>
    </row>
    <row r="133" spans="1:16">
      <c r="A133" s="5" t="s">
        <v>72</v>
      </c>
      <c r="B133" s="47" t="s">
        <v>381</v>
      </c>
      <c r="C133" s="47" t="s">
        <v>933</v>
      </c>
      <c r="D133" s="5">
        <v>57</v>
      </c>
      <c r="E133" s="8">
        <v>25238</v>
      </c>
      <c r="F133" t="s">
        <v>164</v>
      </c>
      <c r="G133" s="1" t="s">
        <v>134</v>
      </c>
      <c r="H133" s="9">
        <v>3200</v>
      </c>
      <c r="I133" s="9">
        <v>0</v>
      </c>
      <c r="J133" s="5">
        <v>18</v>
      </c>
      <c r="K133" s="5" t="str">
        <f>IF(J133&lt;=10, "Baixo", IF(J133&lt;=25, "Médio", "Alto"))</f>
        <v>Médio</v>
      </c>
      <c r="L133" s="5" t="s">
        <v>874</v>
      </c>
      <c r="M133" s="2">
        <v>64000</v>
      </c>
      <c r="N133" s="5" t="str">
        <f>IF(A133="Inativo", "Inativo", IF(A133="", "Negado", IF(COUNTIF(C:C, C133)&gt;1, "Negado", IF(AND(K133="Alto", L133="S"), "Negado", "Aprovado"))))</f>
        <v>Aprovado</v>
      </c>
      <c r="O133" s="5" t="str">
        <f>IF(A133="Inativo", "Inativo", IF(A133="", "Negado", IF(COUNTIF(C:C, C133)&gt;1, "Negado", IF(AND(I133&gt;50000, L133="S"), "Negado", "Aprovado"))))</f>
        <v>Aprovado</v>
      </c>
      <c r="P133" s="2">
        <f>IF(OR(N133="Negado", O133="Negado", A133="", L133=""), 0, IF(A133="Ativo", M133*0.08, 0))</f>
        <v>5120</v>
      </c>
    </row>
    <row r="134" spans="1:16">
      <c r="A134" s="5" t="s">
        <v>72</v>
      </c>
      <c r="B134" s="47" t="s">
        <v>583</v>
      </c>
      <c r="C134" s="47" t="s">
        <v>934</v>
      </c>
      <c r="D134" s="5">
        <v>44</v>
      </c>
      <c r="E134" s="8">
        <v>30167</v>
      </c>
      <c r="F134" t="s">
        <v>143</v>
      </c>
      <c r="G134" t="s">
        <v>144</v>
      </c>
      <c r="H134" s="9">
        <v>5500</v>
      </c>
      <c r="I134" s="9">
        <v>26000</v>
      </c>
      <c r="J134" s="5">
        <v>30</v>
      </c>
      <c r="K134" s="5" t="str">
        <f>IF(J134&lt;=10, "Baixo", IF(J134&lt;=25, "Médio", "Alto"))</f>
        <v>Alto</v>
      </c>
      <c r="L134" s="5" t="s">
        <v>874</v>
      </c>
      <c r="M134" s="2">
        <v>64000</v>
      </c>
      <c r="N134" s="5" t="str">
        <f>IF(A134="Inativo", "Inativo", IF(A134="", "Negado", IF(COUNTIF(C:C, C134)&gt;1, "Negado", IF(AND(K134="Alto", L134="S"), "Negado", "Aprovado"))))</f>
        <v>Aprovado</v>
      </c>
      <c r="O134" s="5" t="str">
        <f>IF(A134="Inativo", "Inativo", IF(A134="", "Negado", IF(COUNTIF(C:C, C134)&gt;1, "Negado", IF(AND(I134&gt;50000, L134="S"), "Negado", "Aprovado"))))</f>
        <v>Aprovado</v>
      </c>
      <c r="P134" s="2">
        <f>IF(OR(N134="Negado", O134="Negado", A134="", L134=""), 0, IF(A134="Ativo", M134*0.08, 0))</f>
        <v>5120</v>
      </c>
    </row>
    <row r="135" spans="1:16">
      <c r="A135" s="5" t="s">
        <v>77</v>
      </c>
      <c r="B135" s="47" t="s">
        <v>456</v>
      </c>
      <c r="C135" s="47" t="s">
        <v>457</v>
      </c>
      <c r="D135" s="5">
        <v>22</v>
      </c>
      <c r="E135" s="8">
        <v>38001</v>
      </c>
      <c r="F135" t="s">
        <v>157</v>
      </c>
      <c r="G135" t="s">
        <v>137</v>
      </c>
      <c r="H135" s="9">
        <v>2100</v>
      </c>
      <c r="I135" s="9">
        <v>79500</v>
      </c>
      <c r="J135" s="5">
        <v>29</v>
      </c>
      <c r="K135" s="5" t="str">
        <f>IF(J135&lt;=10, "Baixo", IF(J135&lt;=25, "Médio", "Alto"))</f>
        <v>Alto</v>
      </c>
      <c r="L135" s="5" t="s">
        <v>876</v>
      </c>
      <c r="M135" s="2">
        <v>64000</v>
      </c>
      <c r="N135" s="5" t="str">
        <f>IF(A135="Inativo", "Inativo", IF(A135="", "Negado", IF(COUNTIF(C:C, C135)&gt;1, "Negado", IF(AND(K135="Alto", L135="S"), "Negado", "Aprovado"))))</f>
        <v>Inativo</v>
      </c>
      <c r="O135" s="5" t="str">
        <f>IF(A135="Inativo", "Inativo", IF(A135="", "Negado", IF(COUNTIF(C:C, C135)&gt;1, "Negado", IF(AND(I135&gt;50000, L135="S"), "Negado", "Aprovado"))))</f>
        <v>Inativo</v>
      </c>
      <c r="P135" s="2">
        <f>IF(OR(N135="Negado", O135="Negado", A135="", L135=""), 0, IF(A135="Ativo", M135*0.08, 0))</f>
        <v>0</v>
      </c>
    </row>
    <row r="136" spans="1:16">
      <c r="A136" s="5" t="s">
        <v>72</v>
      </c>
      <c r="B136" s="47" t="s">
        <v>935</v>
      </c>
      <c r="C136" s="47" t="s">
        <v>167</v>
      </c>
      <c r="D136" s="5">
        <v>29</v>
      </c>
      <c r="E136" s="8">
        <v>35323</v>
      </c>
      <c r="F136" t="s">
        <v>168</v>
      </c>
      <c r="G136" t="s">
        <v>144</v>
      </c>
      <c r="H136" s="9">
        <v>21200</v>
      </c>
      <c r="I136" s="9">
        <v>75000</v>
      </c>
      <c r="J136" s="5">
        <v>6</v>
      </c>
      <c r="K136" s="5" t="str">
        <f>IF(J136&lt;=10, "Baixo", IF(J136&lt;=25, "Médio", "Alto"))</f>
        <v>Baixo</v>
      </c>
      <c r="L136" s="5" t="s">
        <v>874</v>
      </c>
      <c r="M136" s="2">
        <v>63500</v>
      </c>
      <c r="N136" s="5" t="str">
        <f>IF(A136="Inativo", "Inativo", IF(A136="", "Negado", IF(COUNTIF(C:C, C136)&gt;1, "Negado", IF(AND(K136="Alto", L136="S"), "Negado", "Aprovado"))))</f>
        <v>Aprovado</v>
      </c>
      <c r="O136" s="5" t="str">
        <f>IF(A136="Inativo", "Inativo", IF(A136="", "Negado", IF(COUNTIF(C:C, C136)&gt;1, "Negado", IF(AND(I136&gt;50000, L136="S"), "Negado", "Aprovado"))))</f>
        <v>Aprovado</v>
      </c>
      <c r="P136" s="2">
        <f>IF(OR(N136="Negado", O136="Negado", A136="", L136=""), 0, IF(A136="Ativo", M136*0.08, 0))</f>
        <v>5080</v>
      </c>
    </row>
    <row r="137" spans="1:16">
      <c r="A137" s="5" t="s">
        <v>72</v>
      </c>
      <c r="B137" s="47" t="s">
        <v>561</v>
      </c>
      <c r="C137" s="47" t="s">
        <v>562</v>
      </c>
      <c r="D137" s="5">
        <v>22</v>
      </c>
      <c r="E137" s="8">
        <v>38079</v>
      </c>
      <c r="F137" t="s">
        <v>79</v>
      </c>
      <c r="G137" t="s">
        <v>301</v>
      </c>
      <c r="H137" s="9">
        <v>9200</v>
      </c>
      <c r="I137" s="9">
        <v>5000</v>
      </c>
      <c r="J137" s="5">
        <v>42</v>
      </c>
      <c r="K137" s="5" t="str">
        <f>IF(J137&lt;=10, "Baixo", IF(J137&lt;=25, "Médio", "Alto"))</f>
        <v>Alto</v>
      </c>
      <c r="L137" s="5" t="s">
        <v>874</v>
      </c>
      <c r="M137" s="2">
        <v>63500</v>
      </c>
      <c r="N137" s="5" t="str">
        <f>IF(A137="Inativo", "Inativo", IF(A137="", "Negado", IF(COUNTIF(C:C, C137)&gt;1, "Negado", IF(AND(K137="Alto", L137="S"), "Negado", "Aprovado"))))</f>
        <v>Aprovado</v>
      </c>
      <c r="O137" s="5" t="str">
        <f>IF(A137="Inativo", "Inativo", IF(A137="", "Negado", IF(COUNTIF(C:C, C137)&gt;1, "Negado", IF(AND(I137&gt;50000, L137="S"), "Negado", "Aprovado"))))</f>
        <v>Aprovado</v>
      </c>
      <c r="P137" s="2">
        <f>IF(OR(N137="Negado", O137="Negado", A137="", L137=""), 0, IF(A137="Ativo", M137*0.08, 0))</f>
        <v>5080</v>
      </c>
    </row>
    <row r="138" spans="1:16">
      <c r="A138" s="5" t="s">
        <v>77</v>
      </c>
      <c r="B138" s="47" t="s">
        <v>936</v>
      </c>
      <c r="C138" s="47" t="s">
        <v>106</v>
      </c>
      <c r="D138" s="5">
        <v>42</v>
      </c>
      <c r="E138" s="8">
        <v>30810</v>
      </c>
      <c r="F138" t="s">
        <v>107</v>
      </c>
      <c r="G138" t="s">
        <v>108</v>
      </c>
      <c r="H138" s="9">
        <v>18200</v>
      </c>
      <c r="I138" s="9">
        <v>31000</v>
      </c>
      <c r="J138" s="5">
        <v>19</v>
      </c>
      <c r="K138" s="5" t="str">
        <f>IF(J138&lt;=10, "Baixo", IF(J138&lt;=25, "Médio", "Alto"))</f>
        <v>Médio</v>
      </c>
      <c r="L138" s="5" t="s">
        <v>874</v>
      </c>
      <c r="M138" s="2">
        <v>63500</v>
      </c>
      <c r="N138" s="5" t="str">
        <f>IF(A138="Inativo", "Inativo", IF(A138="", "Negado", IF(COUNTIF(C:C, C138)&gt;1, "Negado", IF(AND(K138="Alto", L138="S"), "Negado", "Aprovado"))))</f>
        <v>Inativo</v>
      </c>
      <c r="O138" s="5" t="str">
        <f>IF(A138="Inativo", "Inativo", IF(A138="", "Negado", IF(COUNTIF(C:C, C138)&gt;1, "Negado", IF(AND(I138&gt;50000, L138="S"), "Negado", "Aprovado"))))</f>
        <v>Inativo</v>
      </c>
      <c r="P138" s="2">
        <f>IF(OR(N138="Negado", O138="Negado", A138="", L138=""), 0, IF(A138="Ativo", M138*0.08, 0))</f>
        <v>0</v>
      </c>
    </row>
    <row r="139" spans="1:16">
      <c r="A139" s="5" t="s">
        <v>72</v>
      </c>
      <c r="B139" s="47" t="s">
        <v>937</v>
      </c>
      <c r="C139" s="47" t="s">
        <v>834</v>
      </c>
      <c r="D139" s="5">
        <v>40</v>
      </c>
      <c r="E139" s="8">
        <v>31458</v>
      </c>
      <c r="F139" t="s">
        <v>149</v>
      </c>
      <c r="G139" s="1" t="s">
        <v>137</v>
      </c>
      <c r="H139" s="9">
        <v>21300</v>
      </c>
      <c r="I139" s="9">
        <v>48500</v>
      </c>
      <c r="J139" s="5">
        <v>6</v>
      </c>
      <c r="K139" s="5" t="str">
        <f>IF(J139&lt;=10, "Baixo", IF(J139&lt;=25, "Médio", "Alto"))</f>
        <v>Baixo</v>
      </c>
      <c r="L139" s="5" t="s">
        <v>874</v>
      </c>
      <c r="M139" s="2">
        <v>62500</v>
      </c>
      <c r="N139" s="5" t="str">
        <f>IF(A139="Inativo", "Inativo", IF(A139="", "Negado", IF(COUNTIF(C:C, C139)&gt;1, "Negado", IF(AND(K139="Alto", L139="S"), "Negado", "Aprovado"))))</f>
        <v>Aprovado</v>
      </c>
      <c r="O139" s="5" t="str">
        <f>IF(A139="Inativo", "Inativo", IF(A139="", "Negado", IF(COUNTIF(C:C, C139)&gt;1, "Negado", IF(AND(I139&gt;50000, L139="S"), "Negado", "Aprovado"))))</f>
        <v>Aprovado</v>
      </c>
      <c r="P139" s="2">
        <f>IF(OR(N139="Negado", O139="Negado", A139="", L139=""), 0, IF(A139="Ativo", M139*0.08, 0))</f>
        <v>5000</v>
      </c>
    </row>
    <row r="140" spans="1:16">
      <c r="A140" s="5" t="s">
        <v>77</v>
      </c>
      <c r="B140" s="47" t="s">
        <v>570</v>
      </c>
      <c r="C140" s="47" t="s">
        <v>571</v>
      </c>
      <c r="D140" s="5">
        <v>26</v>
      </c>
      <c r="E140" s="8">
        <v>36540</v>
      </c>
      <c r="F140" t="s">
        <v>84</v>
      </c>
      <c r="G140" t="s">
        <v>411</v>
      </c>
      <c r="H140" s="9">
        <v>24000</v>
      </c>
      <c r="I140" s="9">
        <v>52000</v>
      </c>
      <c r="J140" s="5">
        <v>30</v>
      </c>
      <c r="K140" s="5" t="str">
        <f>IF(J140&lt;=10, "Baixo", IF(J140&lt;=25, "Médio", "Alto"))</f>
        <v>Alto</v>
      </c>
      <c r="L140" s="5" t="s">
        <v>874</v>
      </c>
      <c r="M140" s="2">
        <v>62500</v>
      </c>
      <c r="N140" s="5" t="str">
        <f>IF(A140="Inativo", "Inativo", IF(A140="", "Negado", IF(COUNTIF(C:C, C140)&gt;1, "Negado", IF(AND(K140="Alto", L140="S"), "Negado", "Aprovado"))))</f>
        <v>Inativo</v>
      </c>
      <c r="O140" s="5" t="str">
        <f>IF(A140="Inativo", "Inativo", IF(A140="", "Negado", IF(COUNTIF(C:C, C140)&gt;1, "Negado", IF(AND(I140&gt;50000, L140="S"), "Negado", "Aprovado"))))</f>
        <v>Inativo</v>
      </c>
      <c r="P140" s="2">
        <f>IF(OR(N140="Negado", O140="Negado", A140="", L140=""), 0, IF(A140="Ativo", M140*0.08, 0))</f>
        <v>0</v>
      </c>
    </row>
    <row r="141" spans="1:16">
      <c r="A141" s="5" t="s">
        <v>72</v>
      </c>
      <c r="B141" s="47" t="s">
        <v>395</v>
      </c>
      <c r="C141" s="47" t="s">
        <v>396</v>
      </c>
      <c r="D141" s="5">
        <v>53</v>
      </c>
      <c r="E141" s="8">
        <v>26584</v>
      </c>
      <c r="F141" t="s">
        <v>157</v>
      </c>
      <c r="G141" t="s">
        <v>137</v>
      </c>
      <c r="H141" s="9">
        <v>12200</v>
      </c>
      <c r="I141" s="9">
        <v>79500</v>
      </c>
      <c r="J141" s="5">
        <v>45</v>
      </c>
      <c r="K141" s="5" t="str">
        <f>IF(J141&lt;=10, "Baixo", IF(J141&lt;=25, "Médio", "Alto"))</f>
        <v>Alto</v>
      </c>
      <c r="L141" s="5" t="s">
        <v>874</v>
      </c>
      <c r="M141" s="2">
        <v>62000</v>
      </c>
      <c r="N141" s="5" t="str">
        <f>IF(A141="Inativo", "Inativo", IF(A141="", "Negado", IF(COUNTIF(C:C, C141)&gt;1, "Negado", IF(AND(K141="Alto", L141="S"), "Negado", "Aprovado"))))</f>
        <v>Negado</v>
      </c>
      <c r="O141" s="5" t="str">
        <f>IF(A141="Inativo", "Inativo", IF(A141="", "Negado", IF(COUNTIF(C:C, C141)&gt;1, "Negado", IF(AND(I141&gt;50000, L141="S"), "Negado", "Aprovado"))))</f>
        <v>Negado</v>
      </c>
      <c r="P141" s="2">
        <f>IF(OR(N141="Negado", O141="Negado", A141="", L141=""), 0, IF(A141="Ativo", M141*0.08, 0))</f>
        <v>0</v>
      </c>
    </row>
    <row r="142" spans="1:16">
      <c r="A142" s="5" t="s">
        <v>72</v>
      </c>
      <c r="B142" s="47" t="s">
        <v>674</v>
      </c>
      <c r="C142" s="47" t="s">
        <v>675</v>
      </c>
      <c r="D142" s="5">
        <v>62</v>
      </c>
      <c r="F142" t="s">
        <v>168</v>
      </c>
      <c r="G142" t="s">
        <v>144</v>
      </c>
      <c r="H142" s="9">
        <v>1900</v>
      </c>
      <c r="I142" s="9">
        <v>3500</v>
      </c>
      <c r="J142" s="5">
        <v>19</v>
      </c>
      <c r="K142" s="5" t="str">
        <f>IF(J142&lt;=10, "Baixo", IF(J142&lt;=25, "Médio", "Alto"))</f>
        <v>Médio</v>
      </c>
      <c r="L142" s="5" t="s">
        <v>874</v>
      </c>
      <c r="M142" s="2">
        <v>62000</v>
      </c>
      <c r="N142" s="5" t="str">
        <f>IF(A142="Inativo", "Inativo", IF(A142="", "Negado", IF(COUNTIF(C:C, C142)&gt;1, "Negado", IF(AND(K142="Alto", L142="S"), "Negado", "Aprovado"))))</f>
        <v>Aprovado</v>
      </c>
      <c r="O142" s="5" t="str">
        <f>IF(A142="Inativo", "Inativo", IF(A142="", "Negado", IF(COUNTIF(C:C, C142)&gt;1, "Negado", IF(AND(I142&gt;50000, L142="S"), "Negado", "Aprovado"))))</f>
        <v>Aprovado</v>
      </c>
      <c r="P142" s="2">
        <f>IF(OR(N142="Negado", O142="Negado", A142="", L142=""), 0, IF(A142="Ativo", M142*0.08, 0))</f>
        <v>4960</v>
      </c>
    </row>
    <row r="143" spans="1:16">
      <c r="A143" s="5" t="s">
        <v>72</v>
      </c>
      <c r="B143" s="47" t="s">
        <v>495</v>
      </c>
      <c r="C143" s="47" t="s">
        <v>496</v>
      </c>
      <c r="D143" s="5">
        <v>30</v>
      </c>
      <c r="E143" s="8">
        <v>35109</v>
      </c>
      <c r="F143" t="s">
        <v>79</v>
      </c>
      <c r="G143" t="s">
        <v>301</v>
      </c>
      <c r="H143" s="9">
        <v>2600</v>
      </c>
      <c r="I143" s="9">
        <v>62000</v>
      </c>
      <c r="J143" s="5">
        <v>22</v>
      </c>
      <c r="K143" s="5" t="str">
        <f>IF(J143&lt;=10, "Baixo", IF(J143&lt;=25, "Médio", "Alto"))</f>
        <v>Médio</v>
      </c>
      <c r="L143" s="5" t="s">
        <v>874</v>
      </c>
      <c r="M143" s="2">
        <v>62000</v>
      </c>
      <c r="N143" s="5" t="str">
        <f>IF(A143="Inativo", "Inativo", IF(A143="", "Negado", IF(COUNTIF(C:C, C143)&gt;1, "Negado", IF(AND(K143="Alto", L143="S"), "Negado", "Aprovado"))))</f>
        <v>Aprovado</v>
      </c>
      <c r="O143" s="5" t="str">
        <f>IF(A143="Inativo", "Inativo", IF(A143="", "Negado", IF(COUNTIF(C:C, C143)&gt;1, "Negado", IF(AND(I143&gt;50000, L143="S"), "Negado", "Aprovado"))))</f>
        <v>Aprovado</v>
      </c>
      <c r="P143" s="2">
        <f>IF(OR(N143="Negado", O143="Negado", A143="", L143=""), 0, IF(A143="Ativo", M143*0.08, 0))</f>
        <v>4960</v>
      </c>
    </row>
    <row r="144" spans="1:16">
      <c r="A144" s="5" t="s">
        <v>72</v>
      </c>
      <c r="B144" s="47" t="s">
        <v>423</v>
      </c>
      <c r="C144" s="47" t="s">
        <v>751</v>
      </c>
      <c r="D144" s="5">
        <v>20</v>
      </c>
      <c r="E144" s="8">
        <v>38957</v>
      </c>
      <c r="F144" t="s">
        <v>157</v>
      </c>
      <c r="G144" t="s">
        <v>137</v>
      </c>
      <c r="H144" s="9">
        <v>18200</v>
      </c>
      <c r="I144" s="9">
        <v>0</v>
      </c>
      <c r="J144" s="5">
        <v>21</v>
      </c>
      <c r="K144" s="5" t="str">
        <f>IF(J144&lt;=10, "Baixo", IF(J144&lt;=25, "Médio", "Alto"))</f>
        <v>Médio</v>
      </c>
      <c r="L144" s="5" t="s">
        <v>874</v>
      </c>
      <c r="M144" s="2">
        <v>61500</v>
      </c>
      <c r="N144" s="5" t="str">
        <f>IF(A144="Inativo", "Inativo", IF(A144="", "Negado", IF(COUNTIF(C:C, C144)&gt;1, "Negado", IF(AND(K144="Alto", L144="S"), "Negado", "Aprovado"))))</f>
        <v>Aprovado</v>
      </c>
      <c r="O144" s="5" t="str">
        <f>IF(A144="Inativo", "Inativo", IF(A144="", "Negado", IF(COUNTIF(C:C, C144)&gt;1, "Negado", IF(AND(I144&gt;50000, L144="S"), "Negado", "Aprovado"))))</f>
        <v>Aprovado</v>
      </c>
      <c r="P144" s="2">
        <f>IF(OR(N144="Negado", O144="Negado", A144="", L144=""), 0, IF(A144="Ativo", M144*0.08, 0))</f>
        <v>4920</v>
      </c>
    </row>
    <row r="145" spans="1:16">
      <c r="A145" s="5" t="s">
        <v>72</v>
      </c>
      <c r="B145" s="47" t="s">
        <v>370</v>
      </c>
      <c r="C145" s="47" t="s">
        <v>371</v>
      </c>
      <c r="D145" s="5">
        <v>46</v>
      </c>
      <c r="E145" s="8">
        <v>29197</v>
      </c>
      <c r="F145" t="s">
        <v>116</v>
      </c>
      <c r="G145" t="s">
        <v>117</v>
      </c>
      <c r="H145" s="9">
        <v>3200</v>
      </c>
      <c r="I145" s="9">
        <v>0</v>
      </c>
      <c r="J145" s="5">
        <v>16</v>
      </c>
      <c r="K145" s="5" t="str">
        <f>IF(J145&lt;=10, "Baixo", IF(J145&lt;=25, "Médio", "Alto"))</f>
        <v>Médio</v>
      </c>
      <c r="L145" s="5" t="s">
        <v>874</v>
      </c>
      <c r="M145" s="2">
        <v>61500</v>
      </c>
      <c r="N145" s="5" t="str">
        <f>IF(A145="Inativo", "Inativo", IF(A145="", "Negado", IF(COUNTIF(C:C, C145)&gt;1, "Negado", IF(AND(K145="Alto", L145="S"), "Negado", "Aprovado"))))</f>
        <v>Aprovado</v>
      </c>
      <c r="O145" s="5" t="str">
        <f>IF(A145="Inativo", "Inativo", IF(A145="", "Negado", IF(COUNTIF(C:C, C145)&gt;1, "Negado", IF(AND(I145&gt;50000, L145="S"), "Negado", "Aprovado"))))</f>
        <v>Aprovado</v>
      </c>
      <c r="P145" s="2">
        <f>IF(OR(N145="Negado", O145="Negado", A145="", L145=""), 0, IF(A145="Ativo", M145*0.08, 0))</f>
        <v>4920</v>
      </c>
    </row>
    <row r="146" spans="1:16">
      <c r="A146" s="5" t="s">
        <v>72</v>
      </c>
      <c r="B146" s="47" t="s">
        <v>204</v>
      </c>
      <c r="C146" s="47" t="s">
        <v>205</v>
      </c>
      <c r="D146" s="5">
        <v>63</v>
      </c>
      <c r="E146" s="8">
        <v>23231</v>
      </c>
      <c r="F146" t="s">
        <v>165</v>
      </c>
      <c r="G146" t="s">
        <v>137</v>
      </c>
      <c r="H146" s="9">
        <v>16800</v>
      </c>
      <c r="I146" s="9">
        <v>0</v>
      </c>
      <c r="J146" s="5">
        <v>32</v>
      </c>
      <c r="K146" s="5" t="str">
        <f>IF(J146&lt;=10, "Baixo", IF(J146&lt;=25, "Médio", "Alto"))</f>
        <v>Alto</v>
      </c>
      <c r="M146" s="2">
        <v>61500</v>
      </c>
      <c r="N146" s="5" t="str">
        <f>IF(A146="Inativo", "Inativo", IF(A146="", "Negado", IF(COUNTIF(C:C, C146)&gt;1, "Negado", IF(AND(K146="Alto", L146="S"), "Negado", "Aprovado"))))</f>
        <v>Aprovado</v>
      </c>
      <c r="O146" s="5" t="str">
        <f>IF(A146="Inativo", "Inativo", IF(A146="", "Negado", IF(COUNTIF(C:C, C146)&gt;1, "Negado", IF(AND(I146&gt;50000, L146="S"), "Negado", "Aprovado"))))</f>
        <v>Aprovado</v>
      </c>
      <c r="P146" s="2">
        <f>IF(OR(N146="Negado", O146="Negado", A146="", L146=""), 0, IF(A146="Ativo", M146*0.08, 0))</f>
        <v>0</v>
      </c>
    </row>
    <row r="147" spans="1:16">
      <c r="A147" s="5" t="s">
        <v>77</v>
      </c>
      <c r="B147" s="47" t="s">
        <v>131</v>
      </c>
      <c r="C147" s="47" t="s">
        <v>132</v>
      </c>
      <c r="D147" s="5">
        <v>47</v>
      </c>
      <c r="E147" s="8">
        <v>29064</v>
      </c>
      <c r="F147" t="s">
        <v>133</v>
      </c>
      <c r="G147" t="s">
        <v>134</v>
      </c>
      <c r="H147" s="9">
        <v>13300</v>
      </c>
      <c r="I147" s="9">
        <v>1000</v>
      </c>
      <c r="J147" s="5">
        <v>24</v>
      </c>
      <c r="K147" s="5" t="str">
        <f>IF(J147&lt;=10, "Baixo", IF(J147&lt;=25, "Médio", "Alto"))</f>
        <v>Médio</v>
      </c>
      <c r="L147" s="5" t="s">
        <v>876</v>
      </c>
      <c r="M147" s="2">
        <v>61500</v>
      </c>
      <c r="N147" s="5" t="str">
        <f>IF(A147="Inativo", "Inativo", IF(A147="", "Negado", IF(COUNTIF(C:C, C147)&gt;1, "Negado", IF(AND(K147="Alto", L147="S"), "Negado", "Aprovado"))))</f>
        <v>Inativo</v>
      </c>
      <c r="O147" s="5" t="str">
        <f>IF(A147="Inativo", "Inativo", IF(A147="", "Negado", IF(COUNTIF(C:C, C147)&gt;1, "Negado", IF(AND(I147&gt;50000, L147="S"), "Negado", "Aprovado"))))</f>
        <v>Inativo</v>
      </c>
      <c r="P147" s="2">
        <f>IF(OR(N147="Negado", O147="Negado", A147="", L147=""), 0, IF(A147="Ativo", M147*0.08, 0))</f>
        <v>0</v>
      </c>
    </row>
    <row r="148" spans="1:16">
      <c r="A148" s="5" t="s">
        <v>72</v>
      </c>
      <c r="B148" s="47" t="s">
        <v>486</v>
      </c>
      <c r="C148" s="47" t="s">
        <v>708</v>
      </c>
      <c r="D148" s="5">
        <v>51</v>
      </c>
      <c r="E148" s="8">
        <v>27421</v>
      </c>
      <c r="F148" t="s">
        <v>179</v>
      </c>
      <c r="G148" t="s">
        <v>179</v>
      </c>
      <c r="H148" s="9">
        <v>26000</v>
      </c>
      <c r="I148" s="9">
        <v>47500</v>
      </c>
      <c r="J148" s="5">
        <v>45</v>
      </c>
      <c r="K148" s="5" t="str">
        <f>IF(J148&lt;=10, "Baixo", IF(J148&lt;=25, "Médio", "Alto"))</f>
        <v>Alto</v>
      </c>
      <c r="L148" s="5" t="s">
        <v>874</v>
      </c>
      <c r="M148" s="2">
        <v>60500</v>
      </c>
      <c r="N148" s="5" t="str">
        <f>IF(A148="Inativo", "Inativo", IF(A148="", "Negado", IF(COUNTIF(C:C, C148)&gt;1, "Negado", IF(AND(K148="Alto", L148="S"), "Negado", "Aprovado"))))</f>
        <v>Aprovado</v>
      </c>
      <c r="O148" s="5" t="str">
        <f>IF(A148="Inativo", "Inativo", IF(A148="", "Negado", IF(COUNTIF(C:C, C148)&gt;1, "Negado", IF(AND(I148&gt;50000, L148="S"), "Negado", "Aprovado"))))</f>
        <v>Aprovado</v>
      </c>
      <c r="P148" s="2">
        <f>IF(OR(N148="Negado", O148="Negado", A148="", L148=""), 0, IF(A148="Ativo", M148*0.08, 0))</f>
        <v>4840</v>
      </c>
    </row>
    <row r="149" spans="1:16">
      <c r="A149" s="5" t="s">
        <v>72</v>
      </c>
      <c r="B149" s="47" t="s">
        <v>610</v>
      </c>
      <c r="C149" s="47" t="s">
        <v>611</v>
      </c>
      <c r="D149" s="5">
        <v>69</v>
      </c>
      <c r="E149" s="8">
        <v>20943</v>
      </c>
      <c r="F149" t="s">
        <v>84</v>
      </c>
      <c r="G149" s="1" t="s">
        <v>411</v>
      </c>
      <c r="H149" s="9">
        <v>13800</v>
      </c>
      <c r="I149" s="9">
        <v>62000</v>
      </c>
      <c r="J149" s="5">
        <v>31</v>
      </c>
      <c r="K149" s="5" t="str">
        <f>IF(J149&lt;=10, "Baixo", IF(J149&lt;=25, "Médio", "Alto"))</f>
        <v>Alto</v>
      </c>
      <c r="L149" s="5" t="s">
        <v>874</v>
      </c>
      <c r="M149" s="2">
        <v>60500</v>
      </c>
      <c r="N149" s="5" t="str">
        <f>IF(A149="Inativo", "Inativo", IF(A149="", "Negado", IF(COUNTIF(C:C, C149)&gt;1, "Negado", IF(AND(K149="Alto", L149="S"), "Negado", "Aprovado"))))</f>
        <v>Aprovado</v>
      </c>
      <c r="O149" s="5" t="str">
        <f>IF(A149="Inativo", "Inativo", IF(A149="", "Negado", IF(COUNTIF(C:C, C149)&gt;1, "Negado", IF(AND(I149&gt;50000, L149="S"), "Negado", "Aprovado"))))</f>
        <v>Aprovado</v>
      </c>
      <c r="P149" s="2">
        <f>IF(OR(N149="Negado", O149="Negado", A149="", L149=""), 0, IF(A149="Ativo", M149*0.08, 0))</f>
        <v>4840</v>
      </c>
    </row>
    <row r="150" spans="1:16">
      <c r="A150" s="5" t="s">
        <v>72</v>
      </c>
      <c r="B150" s="47" t="s">
        <v>334</v>
      </c>
      <c r="C150" s="47" t="s">
        <v>938</v>
      </c>
      <c r="D150" s="5">
        <v>35</v>
      </c>
      <c r="E150" s="8">
        <v>33473</v>
      </c>
      <c r="F150" t="s">
        <v>240</v>
      </c>
      <c r="G150" t="s">
        <v>453</v>
      </c>
      <c r="H150" s="9">
        <v>24000</v>
      </c>
      <c r="I150" s="9">
        <v>0</v>
      </c>
      <c r="J150" s="5">
        <v>3</v>
      </c>
      <c r="K150" s="5" t="str">
        <f>IF(J150&lt;=10, "Baixo", IF(J150&lt;=25, "Médio", "Alto"))</f>
        <v>Baixo</v>
      </c>
      <c r="L150" s="5" t="s">
        <v>876</v>
      </c>
      <c r="M150" s="2">
        <v>60000</v>
      </c>
      <c r="N150" s="5" t="str">
        <f>IF(A150="Inativo", "Inativo", IF(A150="", "Negado", IF(COUNTIF(C:C, C150)&gt;1, "Negado", IF(AND(K150="Alto", L150="S"), "Negado", "Aprovado"))))</f>
        <v>Aprovado</v>
      </c>
      <c r="O150" s="5" t="str">
        <f>IF(A150="Inativo", "Inativo", IF(A150="", "Negado", IF(COUNTIF(C:C, C150)&gt;1, "Negado", IF(AND(I150&gt;50000, L150="S"), "Negado", "Aprovado"))))</f>
        <v>Aprovado</v>
      </c>
      <c r="P150" s="2">
        <f>IF(OR(N150="Negado", O150="Negado", A150="", L150=""), 0, IF(A150="Ativo", M150*0.08, 0))</f>
        <v>4800</v>
      </c>
    </row>
    <row r="151" spans="1:16">
      <c r="A151" s="5" t="s">
        <v>72</v>
      </c>
      <c r="B151" s="47" t="s">
        <v>277</v>
      </c>
      <c r="C151" s="47" t="s">
        <v>278</v>
      </c>
      <c r="D151" s="5">
        <v>34</v>
      </c>
      <c r="E151" s="8">
        <v>33525</v>
      </c>
      <c r="F151" t="s">
        <v>165</v>
      </c>
      <c r="G151" t="s">
        <v>137</v>
      </c>
      <c r="H151" s="9">
        <v>28000</v>
      </c>
      <c r="I151" s="9">
        <v>36500</v>
      </c>
      <c r="J151" s="5">
        <v>33</v>
      </c>
      <c r="K151" s="5" t="str">
        <f>IF(J151&lt;=10, "Baixo", IF(J151&lt;=25, "Médio", "Alto"))</f>
        <v>Alto</v>
      </c>
      <c r="L151" s="5" t="s">
        <v>874</v>
      </c>
      <c r="M151" s="2">
        <v>60000</v>
      </c>
      <c r="N151" s="5" t="str">
        <f>IF(A151="Inativo", "Inativo", IF(A151="", "Negado", IF(COUNTIF(C:C, C151)&gt;1, "Negado", IF(AND(K151="Alto", L151="S"), "Negado", "Aprovado"))))</f>
        <v>Aprovado</v>
      </c>
      <c r="O151" s="5" t="str">
        <f>IF(A151="Inativo", "Inativo", IF(A151="", "Negado", IF(COUNTIF(C:C, C151)&gt;1, "Negado", IF(AND(I151&gt;50000, L151="S"), "Negado", "Aprovado"))))</f>
        <v>Aprovado</v>
      </c>
      <c r="P151" s="2">
        <f>IF(OR(N151="Negado", O151="Negado", A151="", L151=""), 0, IF(A151="Ativo", M151*0.08, 0))</f>
        <v>4800</v>
      </c>
    </row>
    <row r="152" spans="1:16">
      <c r="A152" s="5" t="s">
        <v>72</v>
      </c>
      <c r="B152" s="47" t="s">
        <v>267</v>
      </c>
      <c r="C152" s="47" t="s">
        <v>939</v>
      </c>
      <c r="D152" s="5">
        <v>68</v>
      </c>
      <c r="F152" t="s">
        <v>84</v>
      </c>
      <c r="G152" t="s">
        <v>411</v>
      </c>
      <c r="H152" s="9">
        <v>19900</v>
      </c>
      <c r="I152" s="9">
        <v>35000</v>
      </c>
      <c r="J152" s="5">
        <v>25</v>
      </c>
      <c r="K152" s="5" t="str">
        <f>IF(J152&lt;=10, "Baixo", IF(J152&lt;=25, "Médio", "Alto"))</f>
        <v>Médio</v>
      </c>
      <c r="L152" s="5" t="s">
        <v>874</v>
      </c>
      <c r="M152" s="2">
        <v>59500</v>
      </c>
      <c r="N152" s="5" t="str">
        <f>IF(A152="Inativo", "Inativo", IF(A152="", "Negado", IF(COUNTIF(C:C, C152)&gt;1, "Negado", IF(AND(K152="Alto", L152="S"), "Negado", "Aprovado"))))</f>
        <v>Aprovado</v>
      </c>
      <c r="O152" s="5" t="str">
        <f>IF(A152="Inativo", "Inativo", IF(A152="", "Negado", IF(COUNTIF(C:C, C152)&gt;1, "Negado", IF(AND(I152&gt;50000, L152="S"), "Negado", "Aprovado"))))</f>
        <v>Aprovado</v>
      </c>
      <c r="P152" s="2">
        <f>IF(OR(N152="Negado", O152="Negado", A152="", L152=""), 0, IF(A152="Ativo", M152*0.08, 0))</f>
        <v>4760</v>
      </c>
    </row>
    <row r="153" spans="1:16">
      <c r="A153" s="5" t="s">
        <v>72</v>
      </c>
      <c r="B153" s="47" t="s">
        <v>816</v>
      </c>
      <c r="C153" s="47" t="s">
        <v>569</v>
      </c>
      <c r="D153" s="5">
        <v>24</v>
      </c>
      <c r="F153" t="s">
        <v>136</v>
      </c>
      <c r="G153" t="s">
        <v>137</v>
      </c>
      <c r="H153" s="9">
        <v>29300</v>
      </c>
      <c r="I153" s="9">
        <v>32000</v>
      </c>
      <c r="J153" s="5">
        <v>26</v>
      </c>
      <c r="K153" s="5" t="str">
        <f>IF(J153&lt;=10, "Baixo", IF(J153&lt;=25, "Médio", "Alto"))</f>
        <v>Alto</v>
      </c>
      <c r="L153" s="5" t="s">
        <v>876</v>
      </c>
      <c r="M153" s="2">
        <v>59000</v>
      </c>
      <c r="N153" s="5" t="str">
        <f>IF(A153="Inativo", "Inativo", IF(A153="", "Negado", IF(COUNTIF(C:C, C153)&gt;1, "Negado", IF(AND(K153="Alto", L153="S"), "Negado", "Aprovado"))))</f>
        <v>Negado</v>
      </c>
      <c r="O153" s="5" t="str">
        <f>IF(A153="Inativo", "Inativo", IF(A153="", "Negado", IF(COUNTIF(C:C, C153)&gt;1, "Negado", IF(AND(I153&gt;50000, L153="S"), "Negado", "Aprovado"))))</f>
        <v>Aprovado</v>
      </c>
      <c r="P153" s="2">
        <f>IF(OR(N153="Negado", O153="Negado", A153="", L153=""), 0, IF(A153="Ativo", M153*0.08, 0))</f>
        <v>0</v>
      </c>
    </row>
    <row r="154" spans="1:16">
      <c r="A154" s="5" t="s">
        <v>72</v>
      </c>
      <c r="B154" s="47" t="s">
        <v>336</v>
      </c>
      <c r="C154" s="47" t="s">
        <v>940</v>
      </c>
      <c r="D154" s="5">
        <v>66</v>
      </c>
      <c r="E154" s="8">
        <v>22151</v>
      </c>
      <c r="F154" t="s">
        <v>157</v>
      </c>
      <c r="G154" s="1" t="s">
        <v>137</v>
      </c>
      <c r="H154" s="9">
        <v>28800</v>
      </c>
      <c r="I154" s="9">
        <v>16000</v>
      </c>
      <c r="J154" s="5">
        <v>44</v>
      </c>
      <c r="K154" s="5" t="str">
        <f>IF(J154&lt;=10, "Baixo", IF(J154&lt;=25, "Médio", "Alto"))</f>
        <v>Alto</v>
      </c>
      <c r="L154" s="5" t="s">
        <v>876</v>
      </c>
      <c r="M154" s="2">
        <v>59000</v>
      </c>
      <c r="N154" s="5" t="str">
        <f>IF(A154="Inativo", "Inativo", IF(A154="", "Negado", IF(COUNTIF(C:C, C154)&gt;1, "Negado", IF(AND(K154="Alto", L154="S"), "Negado", "Aprovado"))))</f>
        <v>Negado</v>
      </c>
      <c r="O154" s="5" t="str">
        <f>IF(A154="Inativo", "Inativo", IF(A154="", "Negado", IF(COUNTIF(C:C, C154)&gt;1, "Negado", IF(AND(I154&gt;50000, L154="S"), "Negado", "Aprovado"))))</f>
        <v>Aprovado</v>
      </c>
      <c r="P154" s="2">
        <f>IF(OR(N154="Negado", O154="Negado", A154="", L154=""), 0, IF(A154="Ativo", M154*0.08, 0))</f>
        <v>0</v>
      </c>
    </row>
    <row r="155" spans="1:16">
      <c r="A155" s="5" t="s">
        <v>72</v>
      </c>
      <c r="B155" s="47" t="s">
        <v>757</v>
      </c>
      <c r="C155" s="47" t="s">
        <v>762</v>
      </c>
      <c r="D155" s="5">
        <v>60</v>
      </c>
      <c r="E155" s="8">
        <v>24054</v>
      </c>
      <c r="F155" t="s">
        <v>75</v>
      </c>
      <c r="G155" t="s">
        <v>76</v>
      </c>
      <c r="H155" s="9">
        <v>22600</v>
      </c>
      <c r="I155" s="9">
        <v>80000</v>
      </c>
      <c r="J155" s="5">
        <v>9</v>
      </c>
      <c r="K155" s="5" t="str">
        <f>IF(J155&lt;=10, "Baixo", IF(J155&lt;=25, "Médio", "Alto"))</f>
        <v>Baixo</v>
      </c>
      <c r="L155" s="5" t="s">
        <v>874</v>
      </c>
      <c r="M155" s="2">
        <v>58500</v>
      </c>
      <c r="N155" s="5" t="str">
        <f>IF(A155="Inativo", "Inativo", IF(A155="", "Negado", IF(COUNTIF(C:C, C155)&gt;1, "Negado", IF(AND(K155="Alto", L155="S"), "Negado", "Aprovado"))))</f>
        <v>Aprovado</v>
      </c>
      <c r="O155" s="5" t="str">
        <f>IF(A155="Inativo", "Inativo", IF(A155="", "Negado", IF(COUNTIF(C:C, C155)&gt;1, "Negado", IF(AND(I155&gt;50000, L155="S"), "Negado", "Aprovado"))))</f>
        <v>Aprovado</v>
      </c>
      <c r="P155" s="2">
        <f>IF(OR(N155="Negado", O155="Negado", A155="", L155=""), 0, IF(A155="Ativo", M155*0.08, 0))</f>
        <v>4680</v>
      </c>
    </row>
    <row r="156" spans="1:16">
      <c r="A156" s="5" t="s">
        <v>72</v>
      </c>
      <c r="B156" s="47" t="s">
        <v>822</v>
      </c>
      <c r="C156" s="47" t="s">
        <v>941</v>
      </c>
      <c r="D156" s="5">
        <v>31</v>
      </c>
      <c r="E156" s="8">
        <v>34914</v>
      </c>
      <c r="F156" t="s">
        <v>107</v>
      </c>
      <c r="G156" t="s">
        <v>108</v>
      </c>
      <c r="H156" s="9">
        <v>20800</v>
      </c>
      <c r="I156" s="9">
        <v>17500</v>
      </c>
      <c r="J156" s="5">
        <v>35</v>
      </c>
      <c r="K156" s="5" t="str">
        <f>IF(J156&lt;=10, "Baixo", IF(J156&lt;=25, "Médio", "Alto"))</f>
        <v>Alto</v>
      </c>
      <c r="L156" s="5" t="s">
        <v>874</v>
      </c>
      <c r="M156" s="2">
        <v>58000</v>
      </c>
      <c r="N156" s="5" t="str">
        <f>IF(A156="Inativo", "Inativo", IF(A156="", "Negado", IF(COUNTIF(C:C, C156)&gt;1, "Negado", IF(AND(K156="Alto", L156="S"), "Negado", "Aprovado"))))</f>
        <v>Negado</v>
      </c>
      <c r="O156" s="5" t="str">
        <f>IF(A156="Inativo", "Inativo", IF(A156="", "Negado", IF(COUNTIF(C:C, C156)&gt;1, "Negado", IF(AND(I156&gt;50000, L156="S"), "Negado", "Aprovado"))))</f>
        <v>Negado</v>
      </c>
      <c r="P156" s="2">
        <f>IF(OR(N156="Negado", O156="Negado", A156="", L156=""), 0, IF(A156="Ativo", M156*0.08, 0))</f>
        <v>0</v>
      </c>
    </row>
    <row r="157" spans="1:16">
      <c r="A157" s="5" t="s">
        <v>72</v>
      </c>
      <c r="B157" s="47" t="s">
        <v>372</v>
      </c>
      <c r="C157" s="47" t="s">
        <v>373</v>
      </c>
      <c r="D157" s="5">
        <v>65</v>
      </c>
      <c r="E157" s="8">
        <v>22505</v>
      </c>
      <c r="F157" t="s">
        <v>149</v>
      </c>
      <c r="G157" t="s">
        <v>137</v>
      </c>
      <c r="H157" s="9">
        <v>29000</v>
      </c>
      <c r="I157" s="9">
        <v>28500</v>
      </c>
      <c r="J157" s="5">
        <v>28</v>
      </c>
      <c r="K157" s="5" t="str">
        <f>IF(J157&lt;=10, "Baixo", IF(J157&lt;=25, "Médio", "Alto"))</f>
        <v>Alto</v>
      </c>
      <c r="L157" s="5" t="s">
        <v>874</v>
      </c>
      <c r="M157" s="2">
        <v>57500</v>
      </c>
      <c r="N157" s="5" t="str">
        <f>IF(A157="Inativo", "Inativo", IF(A157="", "Negado", IF(COUNTIF(C:C, C157)&gt;1, "Negado", IF(AND(K157="Alto", L157="S"), "Negado", "Aprovado"))))</f>
        <v>Aprovado</v>
      </c>
      <c r="O157" s="5" t="str">
        <f>IF(A157="Inativo", "Inativo", IF(A157="", "Negado", IF(COUNTIF(C:C, C157)&gt;1, "Negado", IF(AND(I157&gt;50000, L157="S"), "Negado", "Aprovado"))))</f>
        <v>Aprovado</v>
      </c>
      <c r="P157" s="2">
        <f>IF(OR(N157="Negado", O157="Negado", A157="", L157=""), 0, IF(A157="Ativo", M157*0.08, 0))</f>
        <v>4600</v>
      </c>
    </row>
    <row r="158" spans="1:16">
      <c r="A158" s="5" t="s">
        <v>72</v>
      </c>
      <c r="B158" s="47" t="s">
        <v>395</v>
      </c>
      <c r="C158" s="47" t="s">
        <v>396</v>
      </c>
      <c r="D158" s="5">
        <v>53</v>
      </c>
      <c r="E158" s="8">
        <v>26584</v>
      </c>
      <c r="F158" t="s">
        <v>157</v>
      </c>
      <c r="G158" t="s">
        <v>137</v>
      </c>
      <c r="H158" s="9">
        <v>12200</v>
      </c>
      <c r="I158" s="9">
        <v>79500</v>
      </c>
      <c r="J158" s="5">
        <v>45</v>
      </c>
      <c r="K158" s="5" t="str">
        <f>IF(J158&lt;=10, "Baixo", IF(J158&lt;=25, "Médio", "Alto"))</f>
        <v>Alto</v>
      </c>
      <c r="L158" s="5" t="s">
        <v>874</v>
      </c>
      <c r="M158" s="2">
        <v>57000</v>
      </c>
      <c r="N158" s="5" t="str">
        <f>IF(A158="Inativo", "Inativo", IF(A158="", "Negado", IF(COUNTIF(C:C, C158)&gt;1, "Negado", IF(AND(K158="Alto", L158="S"), "Negado", "Aprovado"))))</f>
        <v>Negado</v>
      </c>
      <c r="O158" s="5" t="str">
        <f>IF(A158="Inativo", "Inativo", IF(A158="", "Negado", IF(COUNTIF(C:C, C158)&gt;1, "Negado", IF(AND(I158&gt;50000, L158="S"), "Negado", "Aprovado"))))</f>
        <v>Negado</v>
      </c>
      <c r="P158" s="2">
        <f>IF(OR(N158="Negado", O158="Negado", A158="", L158=""), 0, IF(A158="Ativo", M158*0.08, 0))</f>
        <v>0</v>
      </c>
    </row>
    <row r="159" spans="1:16">
      <c r="A159" s="5" t="s">
        <v>72</v>
      </c>
      <c r="B159" s="47" t="s">
        <v>299</v>
      </c>
      <c r="C159" s="47" t="s">
        <v>942</v>
      </c>
      <c r="D159" s="5">
        <v>64</v>
      </c>
      <c r="E159" s="8">
        <v>22836</v>
      </c>
      <c r="F159" t="s">
        <v>300</v>
      </c>
      <c r="G159" t="s">
        <v>301</v>
      </c>
      <c r="H159" s="9">
        <v>24300</v>
      </c>
      <c r="I159" s="9">
        <v>16500</v>
      </c>
      <c r="J159" s="5">
        <v>24</v>
      </c>
      <c r="K159" s="5" t="str">
        <f>IF(J159&lt;=10, "Baixo", IF(J159&lt;=25, "Médio", "Alto"))</f>
        <v>Médio</v>
      </c>
      <c r="L159" s="5" t="s">
        <v>876</v>
      </c>
      <c r="M159" s="2">
        <v>57000</v>
      </c>
      <c r="N159" s="5" t="str">
        <f>IF(A159="Inativo", "Inativo", IF(A159="", "Negado", IF(COUNTIF(C:C, C159)&gt;1, "Negado", IF(AND(K159="Alto", L159="S"), "Negado", "Aprovado"))))</f>
        <v>Aprovado</v>
      </c>
      <c r="O159" s="5" t="str">
        <f>IF(A159="Inativo", "Inativo", IF(A159="", "Negado", IF(COUNTIF(C:C, C159)&gt;1, "Negado", IF(AND(I159&gt;50000, L159="S"), "Negado", "Aprovado"))))</f>
        <v>Aprovado</v>
      </c>
      <c r="P159" s="2">
        <f>IF(OR(N159="Negado", O159="Negado", A159="", L159=""), 0, IF(A159="Ativo", M159*0.08, 0))</f>
        <v>4560</v>
      </c>
    </row>
    <row r="160" spans="1:16">
      <c r="A160" s="5" t="s">
        <v>72</v>
      </c>
      <c r="B160" s="47" t="s">
        <v>222</v>
      </c>
      <c r="C160" s="47" t="s">
        <v>943</v>
      </c>
      <c r="D160" s="5">
        <v>39</v>
      </c>
      <c r="E160" s="8">
        <v>31766</v>
      </c>
      <c r="F160" t="s">
        <v>143</v>
      </c>
      <c r="G160" t="s">
        <v>144</v>
      </c>
      <c r="H160" s="9">
        <v>24700</v>
      </c>
      <c r="I160" s="9">
        <v>23500</v>
      </c>
      <c r="J160" s="5">
        <v>43</v>
      </c>
      <c r="K160" s="5" t="str">
        <f>IF(J160&lt;=10, "Baixo", IF(J160&lt;=25, "Médio", "Alto"))</f>
        <v>Alto</v>
      </c>
      <c r="L160" s="5" t="s">
        <v>874</v>
      </c>
      <c r="M160" s="2">
        <v>57000</v>
      </c>
      <c r="N160" s="5" t="str">
        <f>IF(A160="Inativo", "Inativo", IF(A160="", "Negado", IF(COUNTIF(C:C, C160)&gt;1, "Negado", IF(AND(K160="Alto", L160="S"), "Negado", "Aprovado"))))</f>
        <v>Aprovado</v>
      </c>
      <c r="O160" s="5" t="str">
        <f>IF(A160="Inativo", "Inativo", IF(A160="", "Negado", IF(COUNTIF(C:C, C160)&gt;1, "Negado", IF(AND(I160&gt;50000, L160="S"), "Negado", "Aprovado"))))</f>
        <v>Aprovado</v>
      </c>
      <c r="P160" s="2">
        <f>IF(OR(N160="Negado", O160="Negado", A160="", L160=""), 0, IF(A160="Ativo", M160*0.08, 0))</f>
        <v>4560</v>
      </c>
    </row>
    <row r="161" spans="1:16">
      <c r="A161" s="5" t="s">
        <v>72</v>
      </c>
      <c r="B161" s="47" t="s">
        <v>559</v>
      </c>
      <c r="C161" s="47" t="s">
        <v>560</v>
      </c>
      <c r="D161" s="5">
        <v>69</v>
      </c>
      <c r="F161" t="s">
        <v>122</v>
      </c>
      <c r="G161" t="s">
        <v>117</v>
      </c>
      <c r="H161" s="9">
        <v>4500</v>
      </c>
      <c r="I161" s="9">
        <v>0</v>
      </c>
      <c r="J161" s="5">
        <v>32</v>
      </c>
      <c r="K161" s="5" t="str">
        <f>IF(J161&lt;=10, "Baixo", IF(J161&lt;=25, "Médio", "Alto"))</f>
        <v>Alto</v>
      </c>
      <c r="L161" s="5" t="s">
        <v>876</v>
      </c>
      <c r="M161" s="2">
        <v>56500</v>
      </c>
      <c r="N161" s="5" t="str">
        <f>IF(A161="Inativo", "Inativo", IF(A161="", "Negado", IF(COUNTIF(C:C, C161)&gt;1, "Negado", IF(AND(K161="Alto", L161="S"), "Negado", "Aprovado"))))</f>
        <v>Negado</v>
      </c>
      <c r="O161" s="5" t="str">
        <f>IF(A161="Inativo", "Inativo", IF(A161="", "Negado", IF(COUNTIF(C:C, C161)&gt;1, "Negado", IF(AND(I161&gt;50000, L161="S"), "Negado", "Aprovado"))))</f>
        <v>Aprovado</v>
      </c>
      <c r="P161" s="2">
        <f>IF(OR(N161="Negado", O161="Negado", A161="", L161=""), 0, IF(A161="Ativo", M161*0.08, 0))</f>
        <v>0</v>
      </c>
    </row>
    <row r="162" spans="1:16">
      <c r="A162" s="5" t="s">
        <v>72</v>
      </c>
      <c r="B162" s="47" t="s">
        <v>334</v>
      </c>
      <c r="C162" s="47" t="s">
        <v>944</v>
      </c>
      <c r="D162" s="5">
        <v>26</v>
      </c>
      <c r="E162" s="8">
        <v>36573</v>
      </c>
      <c r="F162" t="s">
        <v>136</v>
      </c>
      <c r="G162" t="s">
        <v>137</v>
      </c>
      <c r="H162" s="9">
        <v>4800</v>
      </c>
      <c r="I162" s="9">
        <v>48500</v>
      </c>
      <c r="J162" s="5">
        <v>6</v>
      </c>
      <c r="K162" s="5" t="str">
        <f>IF(J162&lt;=10, "Baixo", IF(J162&lt;=25, "Médio", "Alto"))</f>
        <v>Baixo</v>
      </c>
      <c r="L162" s="5" t="s">
        <v>876</v>
      </c>
      <c r="M162" s="2">
        <v>56500</v>
      </c>
      <c r="N162" s="5" t="str">
        <f>IF(A162="Inativo", "Inativo", IF(A162="", "Negado", IF(COUNTIF(C:C, C162)&gt;1, "Negado", IF(AND(K162="Alto", L162="S"), "Negado", "Aprovado"))))</f>
        <v>Aprovado</v>
      </c>
      <c r="O162" s="5" t="str">
        <f>IF(A162="Inativo", "Inativo", IF(A162="", "Negado", IF(COUNTIF(C:C, C162)&gt;1, "Negado", IF(AND(I162&gt;50000, L162="S"), "Negado", "Aprovado"))))</f>
        <v>Aprovado</v>
      </c>
      <c r="P162" s="2">
        <f>IF(OR(N162="Negado", O162="Negado", A162="", L162=""), 0, IF(A162="Ativo", M162*0.08, 0))</f>
        <v>4520</v>
      </c>
    </row>
    <row r="163" spans="1:16">
      <c r="A163" s="5" t="s">
        <v>77</v>
      </c>
      <c r="B163" s="47" t="s">
        <v>251</v>
      </c>
      <c r="C163" s="47" t="s">
        <v>945</v>
      </c>
      <c r="D163" s="5">
        <v>35</v>
      </c>
      <c r="E163" s="8">
        <v>33204</v>
      </c>
      <c r="F163" t="s">
        <v>165</v>
      </c>
      <c r="G163" t="s">
        <v>137</v>
      </c>
      <c r="H163" s="9">
        <v>17600</v>
      </c>
      <c r="I163" s="9">
        <v>44000</v>
      </c>
      <c r="J163" s="5">
        <v>22</v>
      </c>
      <c r="K163" s="5" t="str">
        <f>IF(J163&lt;=10, "Baixo", IF(J163&lt;=25, "Médio", "Alto"))</f>
        <v>Médio</v>
      </c>
      <c r="L163" s="5" t="s">
        <v>874</v>
      </c>
      <c r="M163" s="2">
        <v>56500</v>
      </c>
      <c r="N163" s="5" t="str">
        <f>IF(A163="Inativo", "Inativo", IF(A163="", "Negado", IF(COUNTIF(C:C, C163)&gt;1, "Negado", IF(AND(K163="Alto", L163="S"), "Negado", "Aprovado"))))</f>
        <v>Inativo</v>
      </c>
      <c r="O163" s="5" t="str">
        <f>IF(A163="Inativo", "Inativo", IF(A163="", "Negado", IF(COUNTIF(C:C, C163)&gt;1, "Negado", IF(AND(I163&gt;50000, L163="S"), "Negado", "Aprovado"))))</f>
        <v>Inativo</v>
      </c>
      <c r="P163" s="2">
        <f>IF(OR(N163="Negado", O163="Negado", A163="", L163=""), 0, IF(A163="Ativo", M163*0.08, 0))</f>
        <v>0</v>
      </c>
    </row>
    <row r="164" spans="1:16">
      <c r="A164" s="5" t="s">
        <v>72</v>
      </c>
      <c r="B164" s="47" t="s">
        <v>231</v>
      </c>
      <c r="C164" s="47" t="s">
        <v>232</v>
      </c>
      <c r="D164" s="5">
        <v>56</v>
      </c>
      <c r="E164" s="8">
        <v>25525</v>
      </c>
      <c r="F164" t="s">
        <v>179</v>
      </c>
      <c r="G164" t="s">
        <v>179</v>
      </c>
      <c r="H164" s="9">
        <v>11100</v>
      </c>
      <c r="I164" s="9">
        <v>63000</v>
      </c>
      <c r="J164" s="5">
        <v>0</v>
      </c>
      <c r="K164" s="5" t="str">
        <f>IF(J164&lt;=10, "Baixo", IF(J164&lt;=25, "Médio", "Alto"))</f>
        <v>Baixo</v>
      </c>
      <c r="L164" s="5" t="s">
        <v>874</v>
      </c>
      <c r="M164" s="2">
        <v>56000</v>
      </c>
      <c r="N164" s="5" t="str">
        <f>IF(A164="Inativo", "Inativo", IF(A164="", "Negado", IF(COUNTIF(C:C, C164)&gt;1, "Negado", IF(AND(K164="Alto", L164="S"), "Negado", "Aprovado"))))</f>
        <v>Aprovado</v>
      </c>
      <c r="O164" s="5" t="str">
        <f>IF(A164="Inativo", "Inativo", IF(A164="", "Negado", IF(COUNTIF(C:C, C164)&gt;1, "Negado", IF(AND(I164&gt;50000, L164="S"), "Negado", "Aprovado"))))</f>
        <v>Aprovado</v>
      </c>
      <c r="P164" s="2">
        <f>IF(OR(N164="Negado", O164="Negado", A164="", L164=""), 0, IF(A164="Ativo", M164*0.08, 0))</f>
        <v>4480</v>
      </c>
    </row>
    <row r="165" spans="1:16">
      <c r="A165" s="5" t="s">
        <v>72</v>
      </c>
      <c r="B165" s="47" t="s">
        <v>292</v>
      </c>
      <c r="C165" s="47" t="s">
        <v>293</v>
      </c>
      <c r="D165" s="5">
        <v>55</v>
      </c>
      <c r="E165" s="8">
        <v>25874</v>
      </c>
      <c r="F165" t="s">
        <v>179</v>
      </c>
      <c r="G165" t="s">
        <v>179</v>
      </c>
      <c r="H165" s="9">
        <v>29100</v>
      </c>
      <c r="I165" s="9">
        <v>5500</v>
      </c>
      <c r="J165" s="5">
        <v>11</v>
      </c>
      <c r="K165" s="5" t="str">
        <f>IF(J165&lt;=10, "Baixo", IF(J165&lt;=25, "Médio", "Alto"))</f>
        <v>Médio</v>
      </c>
      <c r="L165" s="5" t="s">
        <v>874</v>
      </c>
      <c r="M165" s="2">
        <v>56000</v>
      </c>
      <c r="N165" s="5" t="str">
        <f>IF(A165="Inativo", "Inativo", IF(A165="", "Negado", IF(COUNTIF(C:C, C165)&gt;1, "Negado", IF(AND(K165="Alto", L165="S"), "Negado", "Aprovado"))))</f>
        <v>Aprovado</v>
      </c>
      <c r="O165" s="5" t="str">
        <f>IF(A165="Inativo", "Inativo", IF(A165="", "Negado", IF(COUNTIF(C:C, C165)&gt;1, "Negado", IF(AND(I165&gt;50000, L165="S"), "Negado", "Aprovado"))))</f>
        <v>Aprovado</v>
      </c>
      <c r="P165" s="2">
        <f>IF(OR(N165="Negado", O165="Negado", A165="", L165=""), 0, IF(A165="Ativo", M165*0.08, 0))</f>
        <v>4480</v>
      </c>
    </row>
    <row r="166" spans="1:16">
      <c r="A166" s="5" t="s">
        <v>72</v>
      </c>
      <c r="B166" s="47" t="s">
        <v>541</v>
      </c>
      <c r="C166" s="47" t="s">
        <v>946</v>
      </c>
      <c r="D166" s="5">
        <v>38</v>
      </c>
      <c r="E166" s="8">
        <v>32066</v>
      </c>
      <c r="F166" t="s">
        <v>116</v>
      </c>
      <c r="G166" t="s">
        <v>117</v>
      </c>
      <c r="H166" s="9">
        <v>9700</v>
      </c>
      <c r="I166" s="9">
        <v>25000</v>
      </c>
      <c r="J166" s="5">
        <v>0</v>
      </c>
      <c r="K166" s="5" t="str">
        <f>IF(J166&lt;=10, "Baixo", IF(J166&lt;=25, "Médio", "Alto"))</f>
        <v>Baixo</v>
      </c>
      <c r="L166" s="5" t="s">
        <v>874</v>
      </c>
      <c r="M166" s="2">
        <v>55500</v>
      </c>
      <c r="N166" s="5" t="str">
        <f>IF(A166="Inativo", "Inativo", IF(A166="", "Negado", IF(COUNTIF(C:C, C166)&gt;1, "Negado", IF(AND(K166="Alto", L166="S"), "Negado", "Aprovado"))))</f>
        <v>Aprovado</v>
      </c>
      <c r="O166" s="5" t="str">
        <f>IF(A166="Inativo", "Inativo", IF(A166="", "Negado", IF(COUNTIF(C:C, C166)&gt;1, "Negado", IF(AND(I166&gt;50000, L166="S"), "Negado", "Aprovado"))))</f>
        <v>Aprovado</v>
      </c>
      <c r="P166" s="2">
        <f>IF(OR(N166="Negado", O166="Negado", A166="", L166=""), 0, IF(A166="Ativo", M166*0.08, 0))</f>
        <v>4440</v>
      </c>
    </row>
    <row r="167" spans="1:16">
      <c r="A167" s="5" t="s">
        <v>77</v>
      </c>
      <c r="B167" s="47" t="s">
        <v>800</v>
      </c>
      <c r="C167" s="47" t="s">
        <v>801</v>
      </c>
      <c r="D167" s="5">
        <v>51</v>
      </c>
      <c r="E167" s="8">
        <v>27590</v>
      </c>
      <c r="F167" t="s">
        <v>212</v>
      </c>
      <c r="G167" t="s">
        <v>144</v>
      </c>
      <c r="H167" s="9">
        <v>11400</v>
      </c>
      <c r="I167" s="9">
        <v>0</v>
      </c>
      <c r="J167" s="5">
        <v>17</v>
      </c>
      <c r="K167" s="5" t="str">
        <f>IF(J167&lt;=10, "Baixo", IF(J167&lt;=25, "Médio", "Alto"))</f>
        <v>Médio</v>
      </c>
      <c r="L167" s="5" t="s">
        <v>874</v>
      </c>
      <c r="M167" s="2">
        <v>55500</v>
      </c>
      <c r="N167" s="5" t="str">
        <f>IF(A167="Inativo", "Inativo", IF(A167="", "Negado", IF(COUNTIF(C:C, C167)&gt;1, "Negado", IF(AND(K167="Alto", L167="S"), "Negado", "Aprovado"))))</f>
        <v>Inativo</v>
      </c>
      <c r="O167" s="5" t="str">
        <f>IF(A167="Inativo", "Inativo", IF(A167="", "Negado", IF(COUNTIF(C:C, C167)&gt;1, "Negado", IF(AND(I167&gt;50000, L167="S"), "Negado", "Aprovado"))))</f>
        <v>Inativo</v>
      </c>
      <c r="P167" s="2">
        <f>IF(OR(N167="Negado", O167="Negado", A167="", L167=""), 0, IF(A167="Ativo", M167*0.08, 0))</f>
        <v>0</v>
      </c>
    </row>
    <row r="168" spans="1:16">
      <c r="A168" s="5" t="s">
        <v>77</v>
      </c>
      <c r="B168" s="47" t="s">
        <v>630</v>
      </c>
      <c r="C168" s="47" t="s">
        <v>947</v>
      </c>
      <c r="D168" s="5">
        <v>25</v>
      </c>
      <c r="E168" s="8">
        <v>37131</v>
      </c>
      <c r="F168" t="s">
        <v>98</v>
      </c>
      <c r="G168" t="s">
        <v>103</v>
      </c>
      <c r="H168" s="9">
        <v>24500</v>
      </c>
      <c r="I168" s="9">
        <v>0</v>
      </c>
      <c r="J168" s="5">
        <v>0</v>
      </c>
      <c r="K168" s="5" t="str">
        <f>IF(J168&lt;=10, "Baixo", IF(J168&lt;=25, "Médio", "Alto"))</f>
        <v>Baixo</v>
      </c>
      <c r="L168" s="5" t="s">
        <v>874</v>
      </c>
      <c r="M168" s="2">
        <v>55000</v>
      </c>
      <c r="N168" s="5" t="str">
        <f>IF(A168="Inativo", "Inativo", IF(A168="", "Negado", IF(COUNTIF(C:C, C168)&gt;1, "Negado", IF(AND(K168="Alto", L168="S"), "Negado", "Aprovado"))))</f>
        <v>Inativo</v>
      </c>
      <c r="O168" s="5" t="str">
        <f>IF(A168="Inativo", "Inativo", IF(A168="", "Negado", IF(COUNTIF(C:C, C168)&gt;1, "Negado", IF(AND(I168&gt;50000, L168="S"), "Negado", "Aprovado"))))</f>
        <v>Inativo</v>
      </c>
      <c r="P168" s="2">
        <f>IF(OR(N168="Negado", O168="Negado", A168="", L168=""), 0, IF(A168="Ativo", M168*0.08, 0))</f>
        <v>0</v>
      </c>
    </row>
    <row r="169" spans="1:16">
      <c r="A169" s="5" t="s">
        <v>72</v>
      </c>
      <c r="B169" s="47" t="s">
        <v>566</v>
      </c>
      <c r="C169" s="47" t="s">
        <v>579</v>
      </c>
      <c r="D169" s="5">
        <v>64</v>
      </c>
      <c r="E169" s="8">
        <v>22900</v>
      </c>
      <c r="F169" t="s">
        <v>179</v>
      </c>
      <c r="G169" t="s">
        <v>179</v>
      </c>
      <c r="H169" s="9">
        <v>5500</v>
      </c>
      <c r="I169" s="9">
        <v>41000</v>
      </c>
      <c r="J169" s="5">
        <v>2</v>
      </c>
      <c r="K169" s="5" t="str">
        <f>IF(J169&lt;=10, "Baixo", IF(J169&lt;=25, "Médio", "Alto"))</f>
        <v>Baixo</v>
      </c>
      <c r="L169" s="5" t="s">
        <v>874</v>
      </c>
      <c r="M169" s="2">
        <v>54500</v>
      </c>
      <c r="N169" s="5" t="str">
        <f>IF(A169="Inativo", "Inativo", IF(A169="", "Negado", IF(COUNTIF(C:C, C169)&gt;1, "Negado", IF(AND(K169="Alto", L169="S"), "Negado", "Aprovado"))))</f>
        <v>Aprovado</v>
      </c>
      <c r="O169" s="5" t="str">
        <f>IF(A169="Inativo", "Inativo", IF(A169="", "Negado", IF(COUNTIF(C:C, C169)&gt;1, "Negado", IF(AND(I169&gt;50000, L169="S"), "Negado", "Aprovado"))))</f>
        <v>Aprovado</v>
      </c>
      <c r="P169" s="2">
        <f>IF(OR(N169="Negado", O169="Negado", A169="", L169=""), 0, IF(A169="Ativo", M169*0.08, 0))</f>
        <v>4360</v>
      </c>
    </row>
    <row r="170" spans="1:16">
      <c r="A170" s="5" t="s">
        <v>72</v>
      </c>
      <c r="B170" s="47" t="s">
        <v>948</v>
      </c>
      <c r="C170" s="47" t="s">
        <v>407</v>
      </c>
      <c r="D170" s="5">
        <v>57</v>
      </c>
      <c r="E170" s="8">
        <v>25199</v>
      </c>
      <c r="F170" t="s">
        <v>143</v>
      </c>
      <c r="G170" t="s">
        <v>144</v>
      </c>
      <c r="H170" s="9">
        <v>20700</v>
      </c>
      <c r="I170" s="9">
        <v>64500</v>
      </c>
      <c r="J170" s="5">
        <v>19</v>
      </c>
      <c r="K170" s="5" t="str">
        <f>IF(J170&lt;=10, "Baixo", IF(J170&lt;=25, "Médio", "Alto"))</f>
        <v>Médio</v>
      </c>
      <c r="L170" s="5" t="s">
        <v>874</v>
      </c>
      <c r="M170" s="2">
        <v>54500</v>
      </c>
      <c r="N170" s="5" t="str">
        <f>IF(A170="Inativo", "Inativo", IF(A170="", "Negado", IF(COUNTIF(C:C, C170)&gt;1, "Negado", IF(AND(K170="Alto", L170="S"), "Negado", "Aprovado"))))</f>
        <v>Aprovado</v>
      </c>
      <c r="O170" s="5" t="str">
        <f>IF(A170="Inativo", "Inativo", IF(A170="", "Negado", IF(COUNTIF(C:C, C170)&gt;1, "Negado", IF(AND(I170&gt;50000, L170="S"), "Negado", "Aprovado"))))</f>
        <v>Aprovado</v>
      </c>
      <c r="P170" s="2">
        <f>IF(OR(N170="Negado", O170="Negado", A170="", L170=""), 0, IF(A170="Ativo", M170*0.08, 0))</f>
        <v>4360</v>
      </c>
    </row>
    <row r="171" spans="1:16">
      <c r="A171" s="5" t="s">
        <v>72</v>
      </c>
      <c r="B171" s="47" t="s">
        <v>768</v>
      </c>
      <c r="C171" s="47" t="s">
        <v>769</v>
      </c>
      <c r="D171" s="5">
        <v>62</v>
      </c>
      <c r="E171" s="8">
        <v>23317</v>
      </c>
      <c r="F171" t="s">
        <v>165</v>
      </c>
      <c r="G171" t="s">
        <v>137</v>
      </c>
      <c r="H171" s="9">
        <v>10500</v>
      </c>
      <c r="I171" s="9">
        <v>0</v>
      </c>
      <c r="J171" s="5">
        <v>4</v>
      </c>
      <c r="K171" s="5" t="str">
        <f>IF(J171&lt;=10, "Baixo", IF(J171&lt;=25, "Médio", "Alto"))</f>
        <v>Baixo</v>
      </c>
      <c r="L171" s="5" t="s">
        <v>876</v>
      </c>
      <c r="M171" s="2">
        <v>54500</v>
      </c>
      <c r="N171" s="5" t="str">
        <f>IF(A171="Inativo", "Inativo", IF(A171="", "Negado", IF(COUNTIF(C:C, C171)&gt;1, "Negado", IF(AND(K171="Alto", L171="S"), "Negado", "Aprovado"))))</f>
        <v>Aprovado</v>
      </c>
      <c r="O171" s="5" t="str">
        <f>IF(A171="Inativo", "Inativo", IF(A171="", "Negado", IF(COUNTIF(C:C, C171)&gt;1, "Negado", IF(AND(I171&gt;50000, L171="S"), "Negado", "Aprovado"))))</f>
        <v>Aprovado</v>
      </c>
      <c r="P171" s="2">
        <f>IF(OR(N171="Negado", O171="Negado", A171="", L171=""), 0, IF(A171="Ativo", M171*0.08, 0))</f>
        <v>4360</v>
      </c>
    </row>
    <row r="172" spans="1:16">
      <c r="A172" s="5" t="s">
        <v>77</v>
      </c>
      <c r="B172" s="47" t="s">
        <v>362</v>
      </c>
      <c r="C172" s="47" t="s">
        <v>949</v>
      </c>
      <c r="D172" s="5">
        <v>32</v>
      </c>
      <c r="E172" s="8">
        <v>34387</v>
      </c>
      <c r="F172" t="s">
        <v>136</v>
      </c>
      <c r="G172" t="s">
        <v>137</v>
      </c>
      <c r="H172" s="9">
        <v>20500</v>
      </c>
      <c r="I172" s="9">
        <v>0</v>
      </c>
      <c r="J172" s="5">
        <v>41</v>
      </c>
      <c r="K172" s="5" t="str">
        <f>IF(J172&lt;=10, "Baixo", IF(J172&lt;=25, "Médio", "Alto"))</f>
        <v>Alto</v>
      </c>
      <c r="L172" s="5" t="s">
        <v>874</v>
      </c>
      <c r="M172" s="2">
        <v>54500</v>
      </c>
      <c r="N172" s="5" t="str">
        <f>IF(A172="Inativo", "Inativo", IF(A172="", "Negado", IF(COUNTIF(C:C, C172)&gt;1, "Negado", IF(AND(K172="Alto", L172="S"), "Negado", "Aprovado"))))</f>
        <v>Inativo</v>
      </c>
      <c r="O172" s="5" t="str">
        <f>IF(A172="Inativo", "Inativo", IF(A172="", "Negado", IF(COUNTIF(C:C, C172)&gt;1, "Negado", IF(AND(I172&gt;50000, L172="S"), "Negado", "Aprovado"))))</f>
        <v>Inativo</v>
      </c>
      <c r="P172" s="2">
        <f>IF(OR(N172="Negado", O172="Negado", A172="", L172=""), 0, IF(A172="Ativo", M172*0.08, 0))</f>
        <v>0</v>
      </c>
    </row>
    <row r="173" spans="1:16">
      <c r="A173" s="5" t="s">
        <v>72</v>
      </c>
      <c r="B173" s="47" t="s">
        <v>554</v>
      </c>
      <c r="C173" s="47" t="s">
        <v>950</v>
      </c>
      <c r="D173" s="5">
        <v>38</v>
      </c>
      <c r="E173" s="8">
        <v>32152</v>
      </c>
      <c r="F173" t="s">
        <v>212</v>
      </c>
      <c r="G173" s="1" t="s">
        <v>144</v>
      </c>
      <c r="H173" s="9">
        <v>2000</v>
      </c>
      <c r="I173" s="9">
        <v>60000</v>
      </c>
      <c r="J173" s="5">
        <v>18</v>
      </c>
      <c r="K173" s="5" t="str">
        <f>IF(J173&lt;=10, "Baixo", IF(J173&lt;=25, "Médio", "Alto"))</f>
        <v>Médio</v>
      </c>
      <c r="L173" s="5" t="s">
        <v>874</v>
      </c>
      <c r="M173" s="2">
        <v>54000</v>
      </c>
      <c r="N173" s="5" t="str">
        <f>IF(A173="Inativo", "Inativo", IF(A173="", "Negado", IF(COUNTIF(C:C, C173)&gt;1, "Negado", IF(AND(K173="Alto", L173="S"), "Negado", "Aprovado"))))</f>
        <v>Aprovado</v>
      </c>
      <c r="O173" s="5" t="str">
        <f>IF(A173="Inativo", "Inativo", IF(A173="", "Negado", IF(COUNTIF(C:C, C173)&gt;1, "Negado", IF(AND(I173&gt;50000, L173="S"), "Negado", "Aprovado"))))</f>
        <v>Aprovado</v>
      </c>
      <c r="P173" s="2">
        <f>IF(OR(N173="Negado", O173="Negado", A173="", L173=""), 0, IF(A173="Ativo", M173*0.08, 0))</f>
        <v>4320</v>
      </c>
    </row>
    <row r="174" spans="1:16">
      <c r="A174" s="5" t="s">
        <v>77</v>
      </c>
      <c r="B174" s="47" t="s">
        <v>515</v>
      </c>
      <c r="C174" s="47" t="s">
        <v>951</v>
      </c>
      <c r="D174" s="5">
        <v>60</v>
      </c>
      <c r="E174" s="8">
        <v>24091</v>
      </c>
      <c r="F174" t="s">
        <v>98</v>
      </c>
      <c r="G174" t="s">
        <v>103</v>
      </c>
      <c r="H174" s="9">
        <v>10100</v>
      </c>
      <c r="I174" s="9">
        <v>55000</v>
      </c>
      <c r="J174" s="5">
        <v>26</v>
      </c>
      <c r="K174" s="5" t="str">
        <f>IF(J174&lt;=10, "Baixo", IF(J174&lt;=25, "Médio", "Alto"))</f>
        <v>Alto</v>
      </c>
      <c r="L174" s="5" t="s">
        <v>874</v>
      </c>
      <c r="M174" s="2">
        <v>54000</v>
      </c>
      <c r="N174" s="5" t="str">
        <f>IF(A174="Inativo", "Inativo", IF(A174="", "Negado", IF(COUNTIF(C:C, C174)&gt;1, "Negado", IF(AND(K174="Alto", L174="S"), "Negado", "Aprovado"))))</f>
        <v>Inativo</v>
      </c>
      <c r="O174" s="5" t="str">
        <f>IF(A174="Inativo", "Inativo", IF(A174="", "Negado", IF(COUNTIF(C:C, C174)&gt;1, "Negado", IF(AND(I174&gt;50000, L174="S"), "Negado", "Aprovado"))))</f>
        <v>Inativo</v>
      </c>
      <c r="P174" s="2">
        <f>IF(OR(N174="Negado", O174="Negado", A174="", L174=""), 0, IF(A174="Ativo", M174*0.08, 0))</f>
        <v>0</v>
      </c>
    </row>
    <row r="175" spans="1:16">
      <c r="A175" s="5" t="s">
        <v>72</v>
      </c>
      <c r="B175" s="47" t="s">
        <v>590</v>
      </c>
      <c r="C175" s="47" t="s">
        <v>591</v>
      </c>
      <c r="D175" s="5">
        <v>70</v>
      </c>
      <c r="E175" s="8">
        <v>20533</v>
      </c>
      <c r="F175" t="s">
        <v>240</v>
      </c>
      <c r="G175" t="s">
        <v>453</v>
      </c>
      <c r="H175" s="9">
        <v>9100</v>
      </c>
      <c r="I175" s="9">
        <v>40500</v>
      </c>
      <c r="J175" s="5">
        <v>35</v>
      </c>
      <c r="K175" s="5" t="str">
        <f>IF(J175&lt;=10, "Baixo", IF(J175&lt;=25, "Médio", "Alto"))</f>
        <v>Alto</v>
      </c>
      <c r="L175" s="5" t="s">
        <v>874</v>
      </c>
      <c r="M175" s="2">
        <v>53000</v>
      </c>
      <c r="N175" s="5" t="str">
        <f>IF(A175="Inativo", "Inativo", IF(A175="", "Negado", IF(COUNTIF(C:C, C175)&gt;1, "Negado", IF(AND(K175="Alto", L175="S"), "Negado", "Aprovado"))))</f>
        <v>Aprovado</v>
      </c>
      <c r="O175" s="5" t="str">
        <f>IF(A175="Inativo", "Inativo", IF(A175="", "Negado", IF(COUNTIF(C:C, C175)&gt;1, "Negado", IF(AND(I175&gt;50000, L175="S"), "Negado", "Aprovado"))))</f>
        <v>Aprovado</v>
      </c>
      <c r="P175" s="2">
        <f>IF(OR(N175="Negado", O175="Negado", A175="", L175=""), 0, IF(A175="Ativo", M175*0.08, 0))</f>
        <v>4240</v>
      </c>
    </row>
    <row r="176" spans="1:16">
      <c r="A176" s="5" t="s">
        <v>72</v>
      </c>
      <c r="B176" s="47" t="s">
        <v>636</v>
      </c>
      <c r="C176" s="47" t="s">
        <v>637</v>
      </c>
      <c r="D176" s="5">
        <v>56</v>
      </c>
      <c r="E176" s="8">
        <v>25551</v>
      </c>
      <c r="F176" t="s">
        <v>179</v>
      </c>
      <c r="G176" t="s">
        <v>179</v>
      </c>
      <c r="H176" s="9">
        <v>22600</v>
      </c>
      <c r="I176" s="9">
        <v>63000</v>
      </c>
      <c r="J176" s="5">
        <v>33</v>
      </c>
      <c r="K176" s="5" t="str">
        <f>IF(J176&lt;=10, "Baixo", IF(J176&lt;=25, "Médio", "Alto"))</f>
        <v>Alto</v>
      </c>
      <c r="L176" s="5" t="s">
        <v>874</v>
      </c>
      <c r="M176" s="2">
        <v>53000</v>
      </c>
      <c r="N176" s="5" t="str">
        <f>IF(A176="Inativo", "Inativo", IF(A176="", "Negado", IF(COUNTIF(C:C, C176)&gt;1, "Negado", IF(AND(K176="Alto", L176="S"), "Negado", "Aprovado"))))</f>
        <v>Aprovado</v>
      </c>
      <c r="O176" s="5" t="str">
        <f>IF(A176="Inativo", "Inativo", IF(A176="", "Negado", IF(COUNTIF(C:C, C176)&gt;1, "Negado", IF(AND(I176&gt;50000, L176="S"), "Negado", "Aprovado"))))</f>
        <v>Aprovado</v>
      </c>
      <c r="P176" s="2">
        <f>IF(OR(N176="Negado", O176="Negado", A176="", L176=""), 0, IF(A176="Ativo", M176*0.08, 0))</f>
        <v>4240</v>
      </c>
    </row>
    <row r="177" spans="1:16">
      <c r="A177" s="5" t="s">
        <v>72</v>
      </c>
      <c r="B177" s="47" t="s">
        <v>952</v>
      </c>
      <c r="C177" s="47" t="s">
        <v>677</v>
      </c>
      <c r="D177" s="5">
        <v>61</v>
      </c>
      <c r="E177" s="8">
        <v>23964</v>
      </c>
      <c r="F177" t="s">
        <v>149</v>
      </c>
      <c r="G177" t="s">
        <v>137</v>
      </c>
      <c r="H177" s="9">
        <v>7000</v>
      </c>
      <c r="I177" s="9">
        <v>1500</v>
      </c>
      <c r="J177" s="5">
        <v>32</v>
      </c>
      <c r="K177" s="5" t="str">
        <f>IF(J177&lt;=10, "Baixo", IF(J177&lt;=25, "Médio", "Alto"))</f>
        <v>Alto</v>
      </c>
      <c r="L177" s="5" t="s">
        <v>876</v>
      </c>
      <c r="M177" s="2">
        <v>53000</v>
      </c>
      <c r="N177" s="5" t="str">
        <f>IF(A177="Inativo", "Inativo", IF(A177="", "Negado", IF(COUNTIF(C:C, C177)&gt;1, "Negado", IF(AND(K177="Alto", L177="S"), "Negado", "Aprovado"))))</f>
        <v>Negado</v>
      </c>
      <c r="O177" s="5" t="str">
        <f>IF(A177="Inativo", "Inativo", IF(A177="", "Negado", IF(COUNTIF(C:C, C177)&gt;1, "Negado", IF(AND(I177&gt;50000, L177="S"), "Negado", "Aprovado"))))</f>
        <v>Aprovado</v>
      </c>
      <c r="P177" s="2">
        <f>IF(OR(N177="Negado", O177="Negado", A177="", L177=""), 0, IF(A177="Ativo", M177*0.08, 0))</f>
        <v>0</v>
      </c>
    </row>
    <row r="178" spans="1:16">
      <c r="A178" s="5" t="s">
        <v>72</v>
      </c>
      <c r="B178" s="47" t="s">
        <v>810</v>
      </c>
      <c r="C178" s="47" t="s">
        <v>953</v>
      </c>
      <c r="D178" s="5">
        <v>67</v>
      </c>
      <c r="E178" s="8">
        <v>21689</v>
      </c>
      <c r="F178" t="s">
        <v>116</v>
      </c>
      <c r="G178" t="s">
        <v>117</v>
      </c>
      <c r="H178" s="9">
        <v>10700</v>
      </c>
      <c r="I178" s="9">
        <v>9000</v>
      </c>
      <c r="J178" s="5">
        <v>37</v>
      </c>
      <c r="K178" s="5" t="str">
        <f>IF(J178&lt;=10, "Baixo", IF(J178&lt;=25, "Médio", "Alto"))</f>
        <v>Alto</v>
      </c>
      <c r="L178" s="5" t="s">
        <v>874</v>
      </c>
      <c r="M178" s="2">
        <v>53000</v>
      </c>
      <c r="N178" s="5" t="str">
        <f>IF(A178="Inativo", "Inativo", IF(A178="", "Negado", IF(COUNTIF(C:C, C178)&gt;1, "Negado", IF(AND(K178="Alto", L178="S"), "Negado", "Aprovado"))))</f>
        <v>Aprovado</v>
      </c>
      <c r="O178" s="5" t="str">
        <f>IF(A178="Inativo", "Inativo", IF(A178="", "Negado", IF(COUNTIF(C:C, C178)&gt;1, "Negado", IF(AND(I178&gt;50000, L178="S"), "Negado", "Aprovado"))))</f>
        <v>Aprovado</v>
      </c>
      <c r="P178" s="2">
        <f>IF(OR(N178="Negado", O178="Negado", A178="", L178=""), 0, IF(A178="Ativo", M178*0.08, 0))</f>
        <v>4240</v>
      </c>
    </row>
    <row r="179" spans="1:16">
      <c r="A179" s="5" t="s">
        <v>72</v>
      </c>
      <c r="B179" s="47" t="s">
        <v>181</v>
      </c>
      <c r="C179" s="47" t="s">
        <v>182</v>
      </c>
      <c r="D179" s="5">
        <v>27</v>
      </c>
      <c r="E179" s="8">
        <v>36319</v>
      </c>
      <c r="F179" t="s">
        <v>79</v>
      </c>
      <c r="G179" t="s">
        <v>301</v>
      </c>
      <c r="H179" s="9">
        <v>28800</v>
      </c>
      <c r="I179" s="9">
        <v>78500</v>
      </c>
      <c r="J179" s="5">
        <v>2</v>
      </c>
      <c r="K179" s="5" t="str">
        <f>IF(J179&lt;=10, "Baixo", IF(J179&lt;=25, "Médio", "Alto"))</f>
        <v>Baixo</v>
      </c>
      <c r="L179" s="5" t="s">
        <v>874</v>
      </c>
      <c r="M179" s="2">
        <v>53000</v>
      </c>
      <c r="N179" s="5" t="str">
        <f>IF(A179="Inativo", "Inativo", IF(A179="", "Negado", IF(COUNTIF(C:C, C179)&gt;1, "Negado", IF(AND(K179="Alto", L179="S"), "Negado", "Aprovado"))))</f>
        <v>Aprovado</v>
      </c>
      <c r="O179" s="5" t="str">
        <f>IF(A179="Inativo", "Inativo", IF(A179="", "Negado", IF(COUNTIF(C:C, C179)&gt;1, "Negado", IF(AND(I179&gt;50000, L179="S"), "Negado", "Aprovado"))))</f>
        <v>Aprovado</v>
      </c>
      <c r="P179" s="2">
        <f>IF(OR(N179="Negado", O179="Negado", A179="", L179=""), 0, IF(A179="Ativo", M179*0.08, 0))</f>
        <v>4240</v>
      </c>
    </row>
    <row r="180" spans="1:16">
      <c r="A180" s="5" t="s">
        <v>72</v>
      </c>
      <c r="B180" s="47" t="s">
        <v>320</v>
      </c>
      <c r="C180" s="47" t="s">
        <v>321</v>
      </c>
      <c r="D180" s="5">
        <v>40</v>
      </c>
      <c r="E180" s="8">
        <v>31408</v>
      </c>
      <c r="F180" t="s">
        <v>122</v>
      </c>
      <c r="G180" s="1" t="s">
        <v>117</v>
      </c>
      <c r="H180" s="9">
        <v>17400</v>
      </c>
      <c r="I180" s="9">
        <v>53000</v>
      </c>
      <c r="J180" s="5">
        <v>20</v>
      </c>
      <c r="K180" s="5" t="str">
        <f>IF(J180&lt;=10, "Baixo", IF(J180&lt;=25, "Médio", "Alto"))</f>
        <v>Médio</v>
      </c>
      <c r="L180" s="5" t="s">
        <v>876</v>
      </c>
      <c r="M180" s="2">
        <v>52500</v>
      </c>
      <c r="N180" s="5" t="str">
        <f>IF(A180="Inativo", "Inativo", IF(A180="", "Negado", IF(COUNTIF(C:C, C180)&gt;1, "Negado", IF(AND(K180="Alto", L180="S"), "Negado", "Aprovado"))))</f>
        <v>Aprovado</v>
      </c>
      <c r="O180" s="5" t="str">
        <f>IF(A180="Inativo", "Inativo", IF(A180="", "Negado", IF(COUNTIF(C:C, C180)&gt;1, "Negado", IF(AND(I180&gt;50000, L180="S"), "Negado", "Aprovado"))))</f>
        <v>Negado</v>
      </c>
      <c r="P180" s="2">
        <f>IF(OR(N180="Negado", O180="Negado", A180="", L180=""), 0, IF(A180="Ativo", M180*0.08, 0))</f>
        <v>0</v>
      </c>
    </row>
    <row r="181" spans="1:16">
      <c r="A181" s="5" t="s">
        <v>72</v>
      </c>
      <c r="B181" s="47" t="s">
        <v>954</v>
      </c>
      <c r="C181" s="47" t="s">
        <v>576</v>
      </c>
      <c r="D181" s="5">
        <v>23</v>
      </c>
      <c r="E181" s="8">
        <v>37785</v>
      </c>
      <c r="F181" t="s">
        <v>220</v>
      </c>
      <c r="G181" t="s">
        <v>411</v>
      </c>
      <c r="H181" s="9">
        <v>17900</v>
      </c>
      <c r="I181" s="9">
        <v>28000</v>
      </c>
      <c r="J181" s="5">
        <v>41</v>
      </c>
      <c r="K181" s="5" t="str">
        <f>IF(J181&lt;=10, "Baixo", IF(J181&lt;=25, "Médio", "Alto"))</f>
        <v>Alto</v>
      </c>
      <c r="L181" s="5" t="s">
        <v>874</v>
      </c>
      <c r="M181" s="2">
        <v>52500</v>
      </c>
      <c r="N181" s="5" t="str">
        <f>IF(A181="Inativo", "Inativo", IF(A181="", "Negado", IF(COUNTIF(C:C, C181)&gt;1, "Negado", IF(AND(K181="Alto", L181="S"), "Negado", "Aprovado"))))</f>
        <v>Aprovado</v>
      </c>
      <c r="O181" s="5" t="str">
        <f>IF(A181="Inativo", "Inativo", IF(A181="", "Negado", IF(COUNTIF(C:C, C181)&gt;1, "Negado", IF(AND(I181&gt;50000, L181="S"), "Negado", "Aprovado"))))</f>
        <v>Aprovado</v>
      </c>
      <c r="P181" s="2">
        <f>IF(OR(N181="Negado", O181="Negado", A181="", L181=""), 0, IF(A181="Ativo", M181*0.08, 0))</f>
        <v>4200</v>
      </c>
    </row>
    <row r="182" spans="1:16">
      <c r="A182" s="5" t="s">
        <v>72</v>
      </c>
      <c r="B182" s="47" t="s">
        <v>783</v>
      </c>
      <c r="C182" s="47" t="s">
        <v>784</v>
      </c>
      <c r="D182" s="5">
        <v>60</v>
      </c>
      <c r="E182" s="8">
        <v>24202</v>
      </c>
      <c r="F182" t="s">
        <v>300</v>
      </c>
      <c r="G182" t="s">
        <v>301</v>
      </c>
      <c r="H182" s="9">
        <v>5500</v>
      </c>
      <c r="I182" s="9">
        <v>0</v>
      </c>
      <c r="J182" s="5">
        <v>26</v>
      </c>
      <c r="K182" s="5" t="str">
        <f>IF(J182&lt;=10, "Baixo", IF(J182&lt;=25, "Médio", "Alto"))</f>
        <v>Alto</v>
      </c>
      <c r="L182" s="5" t="s">
        <v>874</v>
      </c>
      <c r="M182" s="2">
        <v>52500</v>
      </c>
      <c r="N182" s="5" t="str">
        <f>IF(A182="Inativo", "Inativo", IF(A182="", "Negado", IF(COUNTIF(C:C, C182)&gt;1, "Negado", IF(AND(K182="Alto", L182="S"), "Negado", "Aprovado"))))</f>
        <v>Aprovado</v>
      </c>
      <c r="O182" s="5" t="str">
        <f>IF(A182="Inativo", "Inativo", IF(A182="", "Negado", IF(COUNTIF(C:C, C182)&gt;1, "Negado", IF(AND(I182&gt;50000, L182="S"), "Negado", "Aprovado"))))</f>
        <v>Aprovado</v>
      </c>
      <c r="P182" s="2">
        <f>IF(OR(N182="Negado", O182="Negado", A182="", L182=""), 0, IF(A182="Ativo", M182*0.08, 0))</f>
        <v>4200</v>
      </c>
    </row>
    <row r="183" spans="1:16">
      <c r="A183" s="5" t="s">
        <v>77</v>
      </c>
      <c r="B183" s="47" t="s">
        <v>955</v>
      </c>
      <c r="C183" s="47" t="s">
        <v>253</v>
      </c>
      <c r="D183" s="5">
        <v>67</v>
      </c>
      <c r="E183" s="8">
        <v>21512</v>
      </c>
      <c r="F183" t="s">
        <v>122</v>
      </c>
      <c r="G183" t="s">
        <v>117</v>
      </c>
      <c r="H183" s="9">
        <v>3200</v>
      </c>
      <c r="I183" s="9">
        <v>6500</v>
      </c>
      <c r="J183" s="5">
        <v>20</v>
      </c>
      <c r="K183" s="5" t="str">
        <f>IF(J183&lt;=10, "Baixo", IF(J183&lt;=25, "Médio", "Alto"))</f>
        <v>Médio</v>
      </c>
      <c r="L183" s="5" t="s">
        <v>874</v>
      </c>
      <c r="M183" s="2">
        <v>52500</v>
      </c>
      <c r="N183" s="5" t="str">
        <f>IF(A183="Inativo", "Inativo", IF(A183="", "Negado", IF(COUNTIF(C:C, C183)&gt;1, "Negado", IF(AND(K183="Alto", L183="S"), "Negado", "Aprovado"))))</f>
        <v>Inativo</v>
      </c>
      <c r="O183" s="5" t="str">
        <f>IF(A183="Inativo", "Inativo", IF(A183="", "Negado", IF(COUNTIF(C:C, C183)&gt;1, "Negado", IF(AND(I183&gt;50000, L183="S"), "Negado", "Aprovado"))))</f>
        <v>Inativo</v>
      </c>
      <c r="P183" s="2">
        <f>IF(OR(N183="Negado", O183="Negado", A183="", L183=""), 0, IF(A183="Ativo", M183*0.08, 0))</f>
        <v>0</v>
      </c>
    </row>
    <row r="184" spans="1:16">
      <c r="A184" s="5" t="s">
        <v>72</v>
      </c>
      <c r="B184" s="47" t="s">
        <v>777</v>
      </c>
      <c r="C184" s="47" t="s">
        <v>778</v>
      </c>
      <c r="D184" s="5">
        <v>55</v>
      </c>
      <c r="E184" s="8">
        <v>25844</v>
      </c>
      <c r="F184" t="s">
        <v>168</v>
      </c>
      <c r="G184" t="s">
        <v>144</v>
      </c>
      <c r="H184" s="9">
        <v>17400</v>
      </c>
      <c r="I184" s="9">
        <v>75500</v>
      </c>
      <c r="J184" s="5">
        <v>9</v>
      </c>
      <c r="K184" s="5" t="str">
        <f>IF(J184&lt;=10, "Baixo", IF(J184&lt;=25, "Médio", "Alto"))</f>
        <v>Baixo</v>
      </c>
      <c r="L184" s="5" t="s">
        <v>874</v>
      </c>
      <c r="M184" s="2">
        <v>52000</v>
      </c>
      <c r="N184" s="5" t="str">
        <f>IF(A184="Inativo", "Inativo", IF(A184="", "Negado", IF(COUNTIF(C:C, C184)&gt;1, "Negado", IF(AND(K184="Alto", L184="S"), "Negado", "Aprovado"))))</f>
        <v>Aprovado</v>
      </c>
      <c r="O184" s="5" t="str">
        <f>IF(A184="Inativo", "Inativo", IF(A184="", "Negado", IF(COUNTIF(C:C, C184)&gt;1, "Negado", IF(AND(I184&gt;50000, L184="S"), "Negado", "Aprovado"))))</f>
        <v>Aprovado</v>
      </c>
      <c r="P184" s="2">
        <f>IF(OR(N184="Negado", O184="Negado", A184="", L184=""), 0, IF(A184="Ativo", M184*0.08, 0))</f>
        <v>4160</v>
      </c>
    </row>
    <row r="185" spans="1:16">
      <c r="A185" s="5" t="s">
        <v>72</v>
      </c>
      <c r="B185" s="47" t="s">
        <v>787</v>
      </c>
      <c r="C185" s="47" t="s">
        <v>788</v>
      </c>
      <c r="D185" s="5">
        <v>19</v>
      </c>
      <c r="E185" s="8">
        <v>39209</v>
      </c>
      <c r="F185" t="s">
        <v>212</v>
      </c>
      <c r="G185" t="s">
        <v>144</v>
      </c>
      <c r="H185" s="9">
        <v>7200</v>
      </c>
      <c r="I185" s="9">
        <v>16000</v>
      </c>
      <c r="J185" s="5">
        <v>5</v>
      </c>
      <c r="K185" s="5" t="str">
        <f>IF(J185&lt;=10, "Baixo", IF(J185&lt;=25, "Médio", "Alto"))</f>
        <v>Baixo</v>
      </c>
      <c r="L185" s="5" t="s">
        <v>874</v>
      </c>
      <c r="M185" s="2">
        <v>52000</v>
      </c>
      <c r="N185" s="5" t="str">
        <f>IF(A185="Inativo", "Inativo", IF(A185="", "Negado", IF(COUNTIF(C:C, C185)&gt;1, "Negado", IF(AND(K185="Alto", L185="S"), "Negado", "Aprovado"))))</f>
        <v>Aprovado</v>
      </c>
      <c r="O185" s="5" t="str">
        <f>IF(A185="Inativo", "Inativo", IF(A185="", "Negado", IF(COUNTIF(C:C, C185)&gt;1, "Negado", IF(AND(I185&gt;50000, L185="S"), "Negado", "Aprovado"))))</f>
        <v>Aprovado</v>
      </c>
      <c r="P185" s="2">
        <f>IF(OR(N185="Negado", O185="Negado", A185="", L185=""), 0, IF(A185="Ativo", M185*0.08, 0))</f>
        <v>4160</v>
      </c>
    </row>
    <row r="186" spans="1:16">
      <c r="A186" s="5" t="s">
        <v>72</v>
      </c>
      <c r="B186" s="47" t="s">
        <v>82</v>
      </c>
      <c r="C186" s="47" t="s">
        <v>83</v>
      </c>
      <c r="D186" s="5">
        <v>33</v>
      </c>
      <c r="E186" s="8">
        <v>34144</v>
      </c>
      <c r="F186" t="s">
        <v>84</v>
      </c>
      <c r="G186" t="s">
        <v>411</v>
      </c>
      <c r="H186" s="9">
        <v>21500</v>
      </c>
      <c r="I186" s="9">
        <v>0</v>
      </c>
      <c r="J186" s="5">
        <v>22</v>
      </c>
      <c r="K186" s="5" t="str">
        <f>IF(J186&lt;=10, "Baixo", IF(J186&lt;=25, "Médio", "Alto"))</f>
        <v>Médio</v>
      </c>
      <c r="L186" s="5" t="s">
        <v>874</v>
      </c>
      <c r="M186" s="2">
        <v>51500</v>
      </c>
      <c r="N186" s="5" t="str">
        <f>IF(A186="Inativo", "Inativo", IF(A186="", "Negado", IF(COUNTIF(C:C, C186)&gt;1, "Negado", IF(AND(K186="Alto", L186="S"), "Negado", "Aprovado"))))</f>
        <v>Aprovado</v>
      </c>
      <c r="O186" s="5" t="str">
        <f>IF(A186="Inativo", "Inativo", IF(A186="", "Negado", IF(COUNTIF(C:C, C186)&gt;1, "Negado", IF(AND(I186&gt;50000, L186="S"), "Negado", "Aprovado"))))</f>
        <v>Aprovado</v>
      </c>
      <c r="P186" s="2">
        <f>IF(OR(N186="Negado", O186="Negado", A186="", L186=""), 0, IF(A186="Ativo", M186*0.08, 0))</f>
        <v>4120</v>
      </c>
    </row>
    <row r="187" spans="1:16">
      <c r="A187" s="5" t="s">
        <v>72</v>
      </c>
      <c r="B187" s="47" t="s">
        <v>427</v>
      </c>
      <c r="C187" s="47" t="s">
        <v>428</v>
      </c>
      <c r="D187" s="5">
        <v>22</v>
      </c>
      <c r="E187" s="8">
        <v>37904</v>
      </c>
      <c r="F187" t="s">
        <v>79</v>
      </c>
      <c r="G187" t="s">
        <v>301</v>
      </c>
      <c r="H187" s="9">
        <v>2300</v>
      </c>
      <c r="I187" s="9">
        <v>0</v>
      </c>
      <c r="J187" s="5">
        <v>29</v>
      </c>
      <c r="K187" s="5" t="str">
        <f>IF(J187&lt;=10, "Baixo", IF(J187&lt;=25, "Médio", "Alto"))</f>
        <v>Alto</v>
      </c>
      <c r="L187" s="5" t="s">
        <v>876</v>
      </c>
      <c r="M187" s="2">
        <v>51500</v>
      </c>
      <c r="N187" s="5" t="str">
        <f>IF(A187="Inativo", "Inativo", IF(A187="", "Negado", IF(COUNTIF(C:C, C187)&gt;1, "Negado", IF(AND(K187="Alto", L187="S"), "Negado", "Aprovado"))))</f>
        <v>Negado</v>
      </c>
      <c r="O187" s="5" t="str">
        <f>IF(A187="Inativo", "Inativo", IF(A187="", "Negado", IF(COUNTIF(C:C, C187)&gt;1, "Negado", IF(AND(I187&gt;50000, L187="S"), "Negado", "Aprovado"))))</f>
        <v>Aprovado</v>
      </c>
      <c r="P187" s="2">
        <f>IF(OR(N187="Negado", O187="Negado", A187="", L187=""), 0, IF(A187="Ativo", M187*0.08, 0))</f>
        <v>0</v>
      </c>
    </row>
    <row r="188" spans="1:16">
      <c r="A188" s="5" t="s">
        <v>77</v>
      </c>
      <c r="B188" s="47" t="s">
        <v>509</v>
      </c>
      <c r="C188" s="47" t="s">
        <v>510</v>
      </c>
      <c r="D188" s="5">
        <v>66</v>
      </c>
      <c r="E188" s="8">
        <v>21954</v>
      </c>
      <c r="F188" t="s">
        <v>220</v>
      </c>
      <c r="G188" t="s">
        <v>411</v>
      </c>
      <c r="H188" s="9">
        <v>3400</v>
      </c>
      <c r="I188" s="9">
        <v>78000</v>
      </c>
      <c r="J188" s="5">
        <v>9</v>
      </c>
      <c r="K188" s="5" t="str">
        <f>IF(J188&lt;=10, "Baixo", IF(J188&lt;=25, "Médio", "Alto"))</f>
        <v>Baixo</v>
      </c>
      <c r="L188" s="5" t="s">
        <v>874</v>
      </c>
      <c r="M188" s="2">
        <v>51500</v>
      </c>
      <c r="N188" s="5" t="str">
        <f>IF(A188="Inativo", "Inativo", IF(A188="", "Negado", IF(COUNTIF(C:C, C188)&gt;1, "Negado", IF(AND(K188="Alto", L188="S"), "Negado", "Aprovado"))))</f>
        <v>Inativo</v>
      </c>
      <c r="O188" s="5" t="str">
        <f>IF(A188="Inativo", "Inativo", IF(A188="", "Negado", IF(COUNTIF(C:C, C188)&gt;1, "Negado", IF(AND(I188&gt;50000, L188="S"), "Negado", "Aprovado"))))</f>
        <v>Inativo</v>
      </c>
      <c r="P188" s="2">
        <f>IF(OR(N188="Negado", O188="Negado", A188="", L188=""), 0, IF(A188="Ativo", M188*0.08, 0))</f>
        <v>0</v>
      </c>
    </row>
    <row r="189" spans="1:16">
      <c r="A189" s="5" t="s">
        <v>72</v>
      </c>
      <c r="B189" s="47" t="s">
        <v>774</v>
      </c>
      <c r="C189" s="47" t="s">
        <v>775</v>
      </c>
      <c r="D189" s="5">
        <v>29</v>
      </c>
      <c r="E189" s="8">
        <v>35392</v>
      </c>
      <c r="F189" t="s">
        <v>240</v>
      </c>
      <c r="G189" t="s">
        <v>453</v>
      </c>
      <c r="H189" s="9">
        <v>6400</v>
      </c>
      <c r="I189" s="9">
        <v>19500</v>
      </c>
      <c r="J189" s="5">
        <v>30</v>
      </c>
      <c r="K189" s="5" t="str">
        <f>IF(J189&lt;=10, "Baixo", IF(J189&lt;=25, "Médio", "Alto"))</f>
        <v>Alto</v>
      </c>
      <c r="L189" s="5" t="s">
        <v>874</v>
      </c>
      <c r="M189" s="2">
        <v>51000</v>
      </c>
      <c r="N189" s="5" t="str">
        <f>IF(A189="Inativo", "Inativo", IF(A189="", "Negado", IF(COUNTIF(C:C, C189)&gt;1, "Negado", IF(AND(K189="Alto", L189="S"), "Negado", "Aprovado"))))</f>
        <v>Aprovado</v>
      </c>
      <c r="O189" s="5" t="str">
        <f>IF(A189="Inativo", "Inativo", IF(A189="", "Negado", IF(COUNTIF(C:C, C189)&gt;1, "Negado", IF(AND(I189&gt;50000, L189="S"), "Negado", "Aprovado"))))</f>
        <v>Aprovado</v>
      </c>
      <c r="P189" s="2">
        <f>IF(OR(N189="Negado", O189="Negado", A189="", L189=""), 0, IF(A189="Ativo", M189*0.08, 0))</f>
        <v>4080</v>
      </c>
    </row>
    <row r="190" spans="1:16">
      <c r="A190" s="5" t="s">
        <v>72</v>
      </c>
      <c r="B190" s="47" t="s">
        <v>726</v>
      </c>
      <c r="C190" s="47" t="s">
        <v>727</v>
      </c>
      <c r="D190" s="5">
        <v>49</v>
      </c>
      <c r="E190" s="8">
        <v>28147</v>
      </c>
      <c r="F190" t="s">
        <v>220</v>
      </c>
      <c r="G190" t="s">
        <v>411</v>
      </c>
      <c r="H190" s="9">
        <v>28400</v>
      </c>
      <c r="I190" s="9">
        <v>38500</v>
      </c>
      <c r="J190" s="5">
        <v>26</v>
      </c>
      <c r="K190" s="5" t="str">
        <f>IF(J190&lt;=10, "Baixo", IF(J190&lt;=25, "Médio", "Alto"))</f>
        <v>Alto</v>
      </c>
      <c r="L190" s="5" t="s">
        <v>874</v>
      </c>
      <c r="M190" s="2">
        <v>51000</v>
      </c>
      <c r="N190" s="5" t="str">
        <f>IF(A190="Inativo", "Inativo", IF(A190="", "Negado", IF(COUNTIF(C:C, C190)&gt;1, "Negado", IF(AND(K190="Alto", L190="S"), "Negado", "Aprovado"))))</f>
        <v>Aprovado</v>
      </c>
      <c r="O190" s="5" t="str">
        <f>IF(A190="Inativo", "Inativo", IF(A190="", "Negado", IF(COUNTIF(C:C, C190)&gt;1, "Negado", IF(AND(I190&gt;50000, L190="S"), "Negado", "Aprovado"))))</f>
        <v>Aprovado</v>
      </c>
      <c r="P190" s="2">
        <f>IF(OR(N190="Negado", O190="Negado", A190="", L190=""), 0, IF(A190="Ativo", M190*0.08, 0))</f>
        <v>4080</v>
      </c>
    </row>
    <row r="191" spans="1:16">
      <c r="A191" s="5" t="s">
        <v>72</v>
      </c>
      <c r="B191" s="47" t="s">
        <v>334</v>
      </c>
      <c r="C191" s="47" t="s">
        <v>335</v>
      </c>
      <c r="D191" s="5">
        <v>74</v>
      </c>
      <c r="E191" s="8">
        <v>19121</v>
      </c>
      <c r="F191" t="s">
        <v>136</v>
      </c>
      <c r="G191" t="s">
        <v>137</v>
      </c>
      <c r="H191" s="9">
        <v>7300</v>
      </c>
      <c r="I191" s="9">
        <v>1000</v>
      </c>
      <c r="J191" s="5">
        <v>3</v>
      </c>
      <c r="K191" s="5" t="str">
        <f>IF(J191&lt;=10, "Baixo", IF(J191&lt;=25, "Médio", "Alto"))</f>
        <v>Baixo</v>
      </c>
      <c r="L191" s="5" t="s">
        <v>874</v>
      </c>
      <c r="M191" s="2">
        <v>50500</v>
      </c>
      <c r="N191" s="5" t="str">
        <f>IF(A191="Inativo", "Inativo", IF(A191="", "Negado", IF(COUNTIF(C:C, C191)&gt;1, "Negado", IF(AND(K191="Alto", L191="S"), "Negado", "Aprovado"))))</f>
        <v>Aprovado</v>
      </c>
      <c r="O191" s="5" t="str">
        <f>IF(A191="Inativo", "Inativo", IF(A191="", "Negado", IF(COUNTIF(C:C, C191)&gt;1, "Negado", IF(AND(I191&gt;50000, L191="S"), "Negado", "Aprovado"))))</f>
        <v>Aprovado</v>
      </c>
      <c r="P191" s="2">
        <f>IF(OR(N191="Negado", O191="Negado", A191="", L191=""), 0, IF(A191="Ativo", M191*0.08, 0))</f>
        <v>4040</v>
      </c>
    </row>
    <row r="192" spans="1:16">
      <c r="A192" s="5" t="s">
        <v>72</v>
      </c>
      <c r="B192" s="47" t="s">
        <v>724</v>
      </c>
      <c r="C192" s="47" t="s">
        <v>725</v>
      </c>
      <c r="D192" s="5">
        <v>64</v>
      </c>
      <c r="E192" s="8">
        <v>22845</v>
      </c>
      <c r="F192" t="s">
        <v>157</v>
      </c>
      <c r="G192" t="s">
        <v>137</v>
      </c>
      <c r="H192" s="9">
        <v>12700</v>
      </c>
      <c r="I192" s="9">
        <v>0</v>
      </c>
      <c r="J192" s="5">
        <v>21</v>
      </c>
      <c r="K192" s="5" t="str">
        <f>IF(J192&lt;=10, "Baixo", IF(J192&lt;=25, "Médio", "Alto"))</f>
        <v>Médio</v>
      </c>
      <c r="L192" s="5" t="s">
        <v>874</v>
      </c>
      <c r="M192" s="2">
        <v>50500</v>
      </c>
      <c r="N192" s="5" t="str">
        <f>IF(A192="Inativo", "Inativo", IF(A192="", "Negado", IF(COUNTIF(C:C, C192)&gt;1, "Negado", IF(AND(K192="Alto", L192="S"), "Negado", "Aprovado"))))</f>
        <v>Aprovado</v>
      </c>
      <c r="O192" s="5" t="str">
        <f>IF(A192="Inativo", "Inativo", IF(A192="", "Negado", IF(COUNTIF(C:C, C192)&gt;1, "Negado", IF(AND(I192&gt;50000, L192="S"), "Negado", "Aprovado"))))</f>
        <v>Aprovado</v>
      </c>
      <c r="P192" s="2">
        <f>IF(OR(N192="Negado", O192="Negado", A192="", L192=""), 0, IF(A192="Ativo", M192*0.08, 0))</f>
        <v>4040</v>
      </c>
    </row>
    <row r="193" spans="1:16">
      <c r="A193" s="5" t="s">
        <v>77</v>
      </c>
      <c r="B193" s="47" t="s">
        <v>596</v>
      </c>
      <c r="C193" s="47" t="s">
        <v>956</v>
      </c>
      <c r="D193" s="5">
        <v>57</v>
      </c>
      <c r="E193" s="8">
        <v>25206</v>
      </c>
      <c r="F193" t="s">
        <v>133</v>
      </c>
      <c r="G193" t="s">
        <v>134</v>
      </c>
      <c r="H193" s="9">
        <v>3400</v>
      </c>
      <c r="I193" s="9">
        <v>23500</v>
      </c>
      <c r="J193" s="5">
        <v>20</v>
      </c>
      <c r="K193" s="5" t="str">
        <f>IF(J193&lt;=10, "Baixo", IF(J193&lt;=25, "Médio", "Alto"))</f>
        <v>Médio</v>
      </c>
      <c r="L193" s="5" t="s">
        <v>874</v>
      </c>
      <c r="M193" s="2">
        <v>50500</v>
      </c>
      <c r="N193" s="5" t="str">
        <f>IF(A193="Inativo", "Inativo", IF(A193="", "Negado", IF(COUNTIF(C:C, C193)&gt;1, "Negado", IF(AND(K193="Alto", L193="S"), "Negado", "Aprovado"))))</f>
        <v>Inativo</v>
      </c>
      <c r="O193" s="5" t="str">
        <f>IF(A193="Inativo", "Inativo", IF(A193="", "Negado", IF(COUNTIF(C:C, C193)&gt;1, "Negado", IF(AND(I193&gt;50000, L193="S"), "Negado", "Aprovado"))))</f>
        <v>Inativo</v>
      </c>
      <c r="P193" s="2">
        <f>IF(OR(N193="Negado", O193="Negado", A193="", L193=""), 0, IF(A193="Ativo", M193*0.08, 0))</f>
        <v>0</v>
      </c>
    </row>
    <row r="194" spans="1:16">
      <c r="A194" s="5" t="s">
        <v>77</v>
      </c>
      <c r="B194" s="47" t="s">
        <v>957</v>
      </c>
      <c r="C194" s="47" t="s">
        <v>538</v>
      </c>
      <c r="D194" s="5">
        <v>74</v>
      </c>
      <c r="E194" s="8">
        <v>19073</v>
      </c>
      <c r="F194" t="s">
        <v>98</v>
      </c>
      <c r="G194" s="1" t="s">
        <v>103</v>
      </c>
      <c r="H194" s="9">
        <v>7100</v>
      </c>
      <c r="I194" s="9">
        <v>61500</v>
      </c>
      <c r="J194" s="5">
        <v>1</v>
      </c>
      <c r="K194" s="5" t="str">
        <f>IF(J194&lt;=10, "Baixo", IF(J194&lt;=25, "Médio", "Alto"))</f>
        <v>Baixo</v>
      </c>
      <c r="L194" s="5" t="s">
        <v>874</v>
      </c>
      <c r="M194" s="2">
        <v>50500</v>
      </c>
      <c r="N194" s="5" t="str">
        <f>IF(A194="Inativo", "Inativo", IF(A194="", "Negado", IF(COUNTIF(C:C, C194)&gt;1, "Negado", IF(AND(K194="Alto", L194="S"), "Negado", "Aprovado"))))</f>
        <v>Inativo</v>
      </c>
      <c r="O194" s="5" t="str">
        <f>IF(A194="Inativo", "Inativo", IF(A194="", "Negado", IF(COUNTIF(C:C, C194)&gt;1, "Negado", IF(AND(I194&gt;50000, L194="S"), "Negado", "Aprovado"))))</f>
        <v>Inativo</v>
      </c>
      <c r="P194" s="2">
        <f>IF(OR(N194="Negado", O194="Negado", A194="", L194=""), 0, IF(A194="Ativo", M194*0.08, 0))</f>
        <v>0</v>
      </c>
    </row>
    <row r="195" spans="1:16">
      <c r="A195" s="5" t="s">
        <v>72</v>
      </c>
      <c r="B195" s="47" t="s">
        <v>612</v>
      </c>
      <c r="C195" s="47" t="s">
        <v>659</v>
      </c>
      <c r="D195" s="5">
        <v>67</v>
      </c>
      <c r="E195" s="8">
        <v>21573</v>
      </c>
      <c r="F195" t="s">
        <v>240</v>
      </c>
      <c r="G195" t="s">
        <v>453</v>
      </c>
      <c r="H195" s="9">
        <v>6400</v>
      </c>
      <c r="I195" s="9">
        <v>1000</v>
      </c>
      <c r="J195" s="5">
        <v>27</v>
      </c>
      <c r="K195" s="5" t="str">
        <f>IF(J195&lt;=10, "Baixo", IF(J195&lt;=25, "Médio", "Alto"))</f>
        <v>Alto</v>
      </c>
      <c r="L195" s="5" t="s">
        <v>874</v>
      </c>
      <c r="M195" s="2">
        <v>50000</v>
      </c>
      <c r="N195" s="5" t="str">
        <f>IF(A195="Inativo", "Inativo", IF(A195="", "Negado", IF(COUNTIF(C:C, C195)&gt;1, "Negado", IF(AND(K195="Alto", L195="S"), "Negado", "Aprovado"))))</f>
        <v>Aprovado</v>
      </c>
      <c r="O195" s="5" t="str">
        <f>IF(A195="Inativo", "Inativo", IF(A195="", "Negado", IF(COUNTIF(C:C, C195)&gt;1, "Negado", IF(AND(I195&gt;50000, L195="S"), "Negado", "Aprovado"))))</f>
        <v>Aprovado</v>
      </c>
      <c r="P195" s="2">
        <f>IF(OR(N195="Negado", O195="Negado", A195="", L195=""), 0, IF(A195="Ativo", M195*0.08, 0))</f>
        <v>4000</v>
      </c>
    </row>
    <row r="196" spans="1:16">
      <c r="A196" s="5" t="s">
        <v>72</v>
      </c>
      <c r="B196" s="47" t="s">
        <v>215</v>
      </c>
      <c r="C196" s="47" t="s">
        <v>216</v>
      </c>
      <c r="D196" s="5">
        <v>21</v>
      </c>
      <c r="E196" s="8">
        <v>38323</v>
      </c>
      <c r="F196" t="s">
        <v>133</v>
      </c>
      <c r="G196" t="s">
        <v>134</v>
      </c>
      <c r="H196" s="9">
        <v>3800</v>
      </c>
      <c r="I196" s="9">
        <v>0</v>
      </c>
      <c r="J196" s="5">
        <v>25</v>
      </c>
      <c r="K196" s="5" t="str">
        <f>IF(J196&lt;=10, "Baixo", IF(J196&lt;=25, "Médio", "Alto"))</f>
        <v>Médio</v>
      </c>
      <c r="L196" s="5" t="s">
        <v>874</v>
      </c>
      <c r="M196" s="2">
        <v>50000</v>
      </c>
      <c r="N196" s="5" t="str">
        <f>IF(A196="Inativo", "Inativo", IF(A196="", "Negado", IF(COUNTIF(C:C, C196)&gt;1, "Negado", IF(AND(K196="Alto", L196="S"), "Negado", "Aprovado"))))</f>
        <v>Aprovado</v>
      </c>
      <c r="O196" s="5" t="str">
        <f>IF(A196="Inativo", "Inativo", IF(A196="", "Negado", IF(COUNTIF(C:C, C196)&gt;1, "Negado", IF(AND(I196&gt;50000, L196="S"), "Negado", "Aprovado"))))</f>
        <v>Aprovado</v>
      </c>
      <c r="P196" s="2">
        <f>IF(OR(N196="Negado", O196="Negado", A196="", L196=""), 0, IF(A196="Ativo", M196*0.08, 0))</f>
        <v>4000</v>
      </c>
    </row>
    <row r="197" spans="1:16">
      <c r="A197" s="5" t="s">
        <v>72</v>
      </c>
      <c r="B197" s="47" t="s">
        <v>518</v>
      </c>
      <c r="C197" s="47" t="s">
        <v>519</v>
      </c>
      <c r="D197" s="5">
        <v>53</v>
      </c>
      <c r="E197" s="8">
        <v>26898</v>
      </c>
      <c r="F197" t="s">
        <v>157</v>
      </c>
      <c r="G197" t="s">
        <v>137</v>
      </c>
      <c r="H197" s="9">
        <v>27100</v>
      </c>
      <c r="I197" s="9">
        <v>68000</v>
      </c>
      <c r="J197" s="5">
        <v>40</v>
      </c>
      <c r="K197" s="5" t="str">
        <f>IF(J197&lt;=10, "Baixo", IF(J197&lt;=25, "Médio", "Alto"))</f>
        <v>Alto</v>
      </c>
      <c r="L197" s="5" t="s">
        <v>874</v>
      </c>
      <c r="M197" s="2">
        <v>49500</v>
      </c>
      <c r="N197" s="5" t="str">
        <f>IF(A197="Inativo", "Inativo", IF(A197="", "Negado", IF(COUNTIF(C:C, C197)&gt;1, "Negado", IF(AND(K197="Alto", L197="S"), "Negado", "Aprovado"))))</f>
        <v>Aprovado</v>
      </c>
      <c r="O197" s="5" t="str">
        <f>IF(A197="Inativo", "Inativo", IF(A197="", "Negado", IF(COUNTIF(C:C, C197)&gt;1, "Negado", IF(AND(I197&gt;50000, L197="S"), "Negado", "Aprovado"))))</f>
        <v>Aprovado</v>
      </c>
      <c r="P197" s="2">
        <f>IF(OR(N197="Negado", O197="Negado", A197="", L197=""), 0, IF(A197="Ativo", M197*0.08, 0))</f>
        <v>3960</v>
      </c>
    </row>
    <row r="198" spans="1:16">
      <c r="A198" s="5" t="s">
        <v>72</v>
      </c>
      <c r="B198" s="47" t="s">
        <v>794</v>
      </c>
      <c r="C198" s="47" t="s">
        <v>958</v>
      </c>
      <c r="D198" s="5">
        <v>20</v>
      </c>
      <c r="E198" s="8">
        <v>38894</v>
      </c>
      <c r="F198" t="s">
        <v>149</v>
      </c>
      <c r="G198" t="s">
        <v>137</v>
      </c>
      <c r="H198" s="9">
        <v>24900</v>
      </c>
      <c r="I198" s="9">
        <v>0</v>
      </c>
      <c r="J198" s="5">
        <v>14</v>
      </c>
      <c r="K198" s="5" t="str">
        <f>IF(J198&lt;=10, "Baixo", IF(J198&lt;=25, "Médio", "Alto"))</f>
        <v>Médio</v>
      </c>
      <c r="L198" s="5" t="s">
        <v>876</v>
      </c>
      <c r="M198" s="2">
        <v>49500</v>
      </c>
      <c r="N198" s="5" t="str">
        <f>IF(A198="Inativo", "Inativo", IF(A198="", "Negado", IF(COUNTIF(C:C, C198)&gt;1, "Negado", IF(AND(K198="Alto", L198="S"), "Negado", "Aprovado"))))</f>
        <v>Aprovado</v>
      </c>
      <c r="O198" s="5" t="str">
        <f>IF(A198="Inativo", "Inativo", IF(A198="", "Negado", IF(COUNTIF(C:C, C198)&gt;1, "Negado", IF(AND(I198&gt;50000, L198="S"), "Negado", "Aprovado"))))</f>
        <v>Aprovado</v>
      </c>
      <c r="P198" s="2">
        <f>IF(OR(N198="Negado", O198="Negado", A198="", L198=""), 0, IF(A198="Ativo", M198*0.08, 0))</f>
        <v>3960</v>
      </c>
    </row>
    <row r="199" spans="1:16">
      <c r="A199" s="5" t="s">
        <v>77</v>
      </c>
      <c r="B199" s="47" t="s">
        <v>580</v>
      </c>
      <c r="C199" s="47" t="s">
        <v>581</v>
      </c>
      <c r="D199" s="5">
        <v>31</v>
      </c>
      <c r="E199" s="8">
        <v>34885</v>
      </c>
      <c r="F199" t="s">
        <v>84</v>
      </c>
      <c r="G199" t="s">
        <v>411</v>
      </c>
      <c r="H199" s="9">
        <v>16400</v>
      </c>
      <c r="I199" s="9">
        <v>45500</v>
      </c>
      <c r="J199" s="5">
        <v>6</v>
      </c>
      <c r="K199" s="5" t="str">
        <f>IF(J199&lt;=10, "Baixo", IF(J199&lt;=25, "Médio", "Alto"))</f>
        <v>Baixo</v>
      </c>
      <c r="L199" s="5" t="s">
        <v>874</v>
      </c>
      <c r="M199" s="2">
        <v>49500</v>
      </c>
      <c r="N199" s="5" t="str">
        <f>IF(A199="Inativo", "Inativo", IF(A199="", "Negado", IF(COUNTIF(C:C, C199)&gt;1, "Negado", IF(AND(K199="Alto", L199="S"), "Negado", "Aprovado"))))</f>
        <v>Inativo</v>
      </c>
      <c r="O199" s="5" t="str">
        <f>IF(A199="Inativo", "Inativo", IF(A199="", "Negado", IF(COUNTIF(C:C, C199)&gt;1, "Negado", IF(AND(I199&gt;50000, L199="S"), "Negado", "Aprovado"))))</f>
        <v>Inativo</v>
      </c>
      <c r="P199" s="2">
        <f>IF(OR(N199="Negado", O199="Negado", A199="", L199=""), 0, IF(A199="Ativo", M199*0.08, 0))</f>
        <v>0</v>
      </c>
    </row>
    <row r="200" spans="1:16">
      <c r="A200" s="5" t="s">
        <v>72</v>
      </c>
      <c r="B200" s="47" t="s">
        <v>586</v>
      </c>
      <c r="C200" s="47" t="s">
        <v>587</v>
      </c>
      <c r="D200" s="5">
        <v>27</v>
      </c>
      <c r="E200" s="8">
        <v>36288</v>
      </c>
      <c r="F200" t="s">
        <v>165</v>
      </c>
      <c r="G200" t="s">
        <v>137</v>
      </c>
      <c r="H200" s="9">
        <v>29700</v>
      </c>
      <c r="I200" s="9">
        <v>12000</v>
      </c>
      <c r="J200" s="5">
        <v>37</v>
      </c>
      <c r="K200" s="5" t="str">
        <f>IF(J200&lt;=10, "Baixo", IF(J200&lt;=25, "Médio", "Alto"))</f>
        <v>Alto</v>
      </c>
      <c r="L200" s="5" t="s">
        <v>874</v>
      </c>
      <c r="M200" s="2">
        <v>49000</v>
      </c>
      <c r="N200" s="5" t="str">
        <f>IF(A200="Inativo", "Inativo", IF(A200="", "Negado", IF(COUNTIF(C:C, C200)&gt;1, "Negado", IF(AND(K200="Alto", L200="S"), "Negado", "Aprovado"))))</f>
        <v>Aprovado</v>
      </c>
      <c r="O200" s="5" t="str">
        <f>IF(A200="Inativo", "Inativo", IF(A200="", "Negado", IF(COUNTIF(C:C, C200)&gt;1, "Negado", IF(AND(I200&gt;50000, L200="S"), "Negado", "Aprovado"))))</f>
        <v>Aprovado</v>
      </c>
      <c r="P200" s="2">
        <f>IF(OR(N200="Negado", O200="Negado", A200="", L200=""), 0, IF(A200="Ativo", M200*0.08, 0))</f>
        <v>3920</v>
      </c>
    </row>
    <row r="201" spans="1:16">
      <c r="A201" s="5" t="s">
        <v>77</v>
      </c>
      <c r="B201" s="47" t="s">
        <v>594</v>
      </c>
      <c r="C201" s="47" t="s">
        <v>595</v>
      </c>
      <c r="D201" s="5">
        <v>58</v>
      </c>
      <c r="E201" s="8">
        <v>25054</v>
      </c>
      <c r="F201" t="s">
        <v>220</v>
      </c>
      <c r="G201" t="s">
        <v>411</v>
      </c>
      <c r="H201" s="9">
        <v>4500</v>
      </c>
      <c r="I201" s="9">
        <v>20000</v>
      </c>
      <c r="J201" s="5">
        <v>9</v>
      </c>
      <c r="K201" s="5" t="str">
        <f>IF(J201&lt;=10, "Baixo", IF(J201&lt;=25, "Médio", "Alto"))</f>
        <v>Baixo</v>
      </c>
      <c r="L201" s="5" t="s">
        <v>876</v>
      </c>
      <c r="M201" s="2">
        <v>49000</v>
      </c>
      <c r="N201" s="5" t="str">
        <f>IF(A201="Inativo", "Inativo", IF(A201="", "Negado", IF(COUNTIF(C:C, C201)&gt;1, "Negado", IF(AND(K201="Alto", L201="S"), "Negado", "Aprovado"))))</f>
        <v>Inativo</v>
      </c>
      <c r="O201" s="5" t="str">
        <f>IF(A201="Inativo", "Inativo", IF(A201="", "Negado", IF(COUNTIF(C:C, C201)&gt;1, "Negado", IF(AND(I201&gt;50000, L201="S"), "Negado", "Aprovado"))))</f>
        <v>Inativo</v>
      </c>
      <c r="P201" s="2">
        <f>IF(OR(N201="Negado", O201="Negado", A201="", L201=""), 0, IF(A201="Ativo", M201*0.08, 0))</f>
        <v>0</v>
      </c>
    </row>
    <row r="202" spans="1:16">
      <c r="A202" s="5" t="s">
        <v>72</v>
      </c>
      <c r="B202" s="47" t="s">
        <v>227</v>
      </c>
      <c r="C202" s="47" t="s">
        <v>228</v>
      </c>
      <c r="D202" s="5">
        <v>48</v>
      </c>
      <c r="E202" s="8">
        <v>28430</v>
      </c>
      <c r="F202" t="s">
        <v>107</v>
      </c>
      <c r="G202" t="s">
        <v>108</v>
      </c>
      <c r="H202" s="9">
        <v>4500</v>
      </c>
      <c r="I202" s="9">
        <v>0</v>
      </c>
      <c r="J202" s="5">
        <v>3</v>
      </c>
      <c r="K202" s="5" t="str">
        <f>IF(J202&lt;=10, "Baixo", IF(J202&lt;=25, "Médio", "Alto"))</f>
        <v>Baixo</v>
      </c>
      <c r="L202" s="5" t="s">
        <v>874</v>
      </c>
      <c r="M202" s="2">
        <v>48500</v>
      </c>
      <c r="N202" s="5" t="str">
        <f>IF(A202="Inativo", "Inativo", IF(A202="", "Negado", IF(COUNTIF(C:C, C202)&gt;1, "Negado", IF(AND(K202="Alto", L202="S"), "Negado", "Aprovado"))))</f>
        <v>Aprovado</v>
      </c>
      <c r="O202" s="5" t="str">
        <f>IF(A202="Inativo", "Inativo", IF(A202="", "Negado", IF(COUNTIF(C:C, C202)&gt;1, "Negado", IF(AND(I202&gt;50000, L202="S"), "Negado", "Aprovado"))))</f>
        <v>Aprovado</v>
      </c>
      <c r="P202" s="2">
        <f>IF(OR(N202="Negado", O202="Negado", A202="", L202=""), 0, IF(A202="Ativo", M202*0.08, 0))</f>
        <v>3880</v>
      </c>
    </row>
    <row r="203" spans="1:16">
      <c r="B203" s="47" t="s">
        <v>730</v>
      </c>
      <c r="C203" s="47" t="s">
        <v>731</v>
      </c>
      <c r="D203" s="5">
        <v>35</v>
      </c>
      <c r="E203" s="8">
        <v>33188</v>
      </c>
      <c r="F203" t="s">
        <v>122</v>
      </c>
      <c r="G203" t="s">
        <v>117</v>
      </c>
      <c r="H203" s="9">
        <v>29900</v>
      </c>
      <c r="I203" s="9">
        <v>64500</v>
      </c>
      <c r="J203" s="5">
        <v>34</v>
      </c>
      <c r="K203" s="5" t="str">
        <f>IF(J203&lt;=10, "Baixo", IF(J203&lt;=25, "Médio", "Alto"))</f>
        <v>Alto</v>
      </c>
      <c r="L203" s="5" t="s">
        <v>874</v>
      </c>
      <c r="M203" s="2">
        <v>48500</v>
      </c>
      <c r="N203" s="5" t="str">
        <f>IF(A203="Inativo", "Inativo", IF(A203="", "Negado", IF(COUNTIF(C:C, C203)&gt;1, "Negado", IF(AND(K203="Alto", L203="S"), "Negado", "Aprovado"))))</f>
        <v>Negado</v>
      </c>
      <c r="O203" s="5" t="str">
        <f>IF(A203="Inativo", "Inativo", IF(A203="", "Negado", IF(COUNTIF(C:C, C203)&gt;1, "Negado", IF(AND(I203&gt;50000, L203="S"), "Negado", "Aprovado"))))</f>
        <v>Negado</v>
      </c>
      <c r="P203" s="2">
        <f>IF(OR(N203="Negado", O203="Negado", A203="", L203=""), 0, IF(A203="Ativo", M203*0.08, 0))</f>
        <v>0</v>
      </c>
    </row>
    <row r="204" spans="1:16">
      <c r="A204" s="5" t="s">
        <v>72</v>
      </c>
      <c r="B204" s="47" t="s">
        <v>719</v>
      </c>
      <c r="C204" s="47" t="s">
        <v>720</v>
      </c>
      <c r="D204" s="5">
        <v>25</v>
      </c>
      <c r="E204" s="8">
        <v>36792</v>
      </c>
      <c r="F204" t="s">
        <v>75</v>
      </c>
      <c r="G204" t="s">
        <v>76</v>
      </c>
      <c r="H204" s="9">
        <v>22100</v>
      </c>
      <c r="I204" s="9">
        <v>30500</v>
      </c>
      <c r="J204" s="5">
        <v>28</v>
      </c>
      <c r="K204" s="5" t="str">
        <f>IF(J204&lt;=10, "Baixo", IF(J204&lt;=25, "Médio", "Alto"))</f>
        <v>Alto</v>
      </c>
      <c r="L204" s="5" t="s">
        <v>874</v>
      </c>
      <c r="M204" s="2">
        <v>48000</v>
      </c>
      <c r="N204" s="5" t="str">
        <f>IF(A204="Inativo", "Inativo", IF(A204="", "Negado", IF(COUNTIF(C:C, C204)&gt;1, "Negado", IF(AND(K204="Alto", L204="S"), "Negado", "Aprovado"))))</f>
        <v>Aprovado</v>
      </c>
      <c r="O204" s="5" t="str">
        <f>IF(A204="Inativo", "Inativo", IF(A204="", "Negado", IF(COUNTIF(C:C, C204)&gt;1, "Negado", IF(AND(I204&gt;50000, L204="S"), "Negado", "Aprovado"))))</f>
        <v>Aprovado</v>
      </c>
      <c r="P204" s="2">
        <f>IF(OR(N204="Negado", O204="Negado", A204="", L204=""), 0, IF(A204="Ativo", M204*0.08, 0))</f>
        <v>3840</v>
      </c>
    </row>
    <row r="205" spans="1:16">
      <c r="A205" s="5" t="s">
        <v>72</v>
      </c>
      <c r="B205" s="47" t="s">
        <v>490</v>
      </c>
      <c r="C205" s="47" t="s">
        <v>491</v>
      </c>
      <c r="D205" s="5">
        <v>62</v>
      </c>
      <c r="E205" s="8">
        <v>23337</v>
      </c>
      <c r="F205" t="s">
        <v>84</v>
      </c>
      <c r="G205" t="s">
        <v>411</v>
      </c>
      <c r="H205" s="9">
        <v>11900</v>
      </c>
      <c r="I205" s="9">
        <v>58500</v>
      </c>
      <c r="J205" s="5">
        <v>37</v>
      </c>
      <c r="K205" s="5" t="str">
        <f>IF(J205&lt;=10, "Baixo", IF(J205&lt;=25, "Médio", "Alto"))</f>
        <v>Alto</v>
      </c>
      <c r="L205" s="5" t="s">
        <v>874</v>
      </c>
      <c r="M205" s="2">
        <v>48000</v>
      </c>
      <c r="N205" s="5" t="str">
        <f>IF(A205="Inativo", "Inativo", IF(A205="", "Negado", IF(COUNTIF(C:C, C205)&gt;1, "Negado", IF(AND(K205="Alto", L205="S"), "Negado", "Aprovado"))))</f>
        <v>Aprovado</v>
      </c>
      <c r="O205" s="5" t="str">
        <f>IF(A205="Inativo", "Inativo", IF(A205="", "Negado", IF(COUNTIF(C:C, C205)&gt;1, "Negado", IF(AND(I205&gt;50000, L205="S"), "Negado", "Aprovado"))))</f>
        <v>Aprovado</v>
      </c>
      <c r="P205" s="2">
        <f>IF(OR(N205="Negado", O205="Negado", A205="", L205=""), 0, IF(A205="Ativo", M205*0.08, 0))</f>
        <v>3840</v>
      </c>
    </row>
    <row r="206" spans="1:16">
      <c r="A206" s="5" t="s">
        <v>72</v>
      </c>
      <c r="B206" s="47" t="s">
        <v>612</v>
      </c>
      <c r="C206" s="47" t="s">
        <v>613</v>
      </c>
      <c r="D206" s="5">
        <v>27</v>
      </c>
      <c r="E206" s="8">
        <v>36316</v>
      </c>
      <c r="F206" t="s">
        <v>143</v>
      </c>
      <c r="G206" t="s">
        <v>144</v>
      </c>
      <c r="H206" s="9">
        <v>10700</v>
      </c>
      <c r="I206" s="9">
        <v>60000</v>
      </c>
      <c r="J206" s="5">
        <v>44</v>
      </c>
      <c r="K206" s="5" t="str">
        <f>IF(J206&lt;=10, "Baixo", IF(J206&lt;=25, "Médio", "Alto"))</f>
        <v>Alto</v>
      </c>
      <c r="L206" s="5" t="s">
        <v>874</v>
      </c>
      <c r="M206" s="2">
        <v>48000</v>
      </c>
      <c r="N206" s="5" t="str">
        <f>IF(A206="Inativo", "Inativo", IF(A206="", "Negado", IF(COUNTIF(C:C, C206)&gt;1, "Negado", IF(AND(K206="Alto", L206="S"), "Negado", "Aprovado"))))</f>
        <v>Aprovado</v>
      </c>
      <c r="O206" s="5" t="str">
        <f>IF(A206="Inativo", "Inativo", IF(A206="", "Negado", IF(COUNTIF(C:C, C206)&gt;1, "Negado", IF(AND(I206&gt;50000, L206="S"), "Negado", "Aprovado"))))</f>
        <v>Aprovado</v>
      </c>
      <c r="P206" s="2">
        <f>IF(OR(N206="Negado", O206="Negado", A206="", L206=""), 0, IF(A206="Ativo", M206*0.08, 0))</f>
        <v>3840</v>
      </c>
    </row>
    <row r="207" spans="1:16">
      <c r="A207" s="5" t="s">
        <v>77</v>
      </c>
      <c r="B207" s="47" t="s">
        <v>470</v>
      </c>
      <c r="C207" s="47"/>
      <c r="D207" s="5">
        <v>61</v>
      </c>
      <c r="E207" s="8">
        <v>23932</v>
      </c>
      <c r="F207" t="s">
        <v>133</v>
      </c>
      <c r="G207" t="s">
        <v>134</v>
      </c>
      <c r="H207" s="9">
        <v>4100</v>
      </c>
      <c r="I207" s="9">
        <v>78000</v>
      </c>
      <c r="J207" s="5">
        <v>25</v>
      </c>
      <c r="K207" s="5" t="str">
        <f>IF(J207&lt;=10, "Baixo", IF(J207&lt;=25, "Médio", "Alto"))</f>
        <v>Médio</v>
      </c>
      <c r="L207" s="5" t="s">
        <v>874</v>
      </c>
      <c r="M207" s="2">
        <v>48000</v>
      </c>
      <c r="N207" s="5" t="str">
        <f>IF(A207="Inativo", "Inativo", IF(A207="", "Negado", IF(COUNTIF(C:C, C207)&gt;1, "Negado", IF(AND(K207="Alto", L207="S"), "Negado", "Aprovado"))))</f>
        <v>Inativo</v>
      </c>
      <c r="O207" s="5" t="str">
        <f>IF(A207="Inativo", "Inativo", IF(A207="", "Negado", IF(COUNTIF(C:C, C207)&gt;1, "Negado", IF(AND(I207&gt;50000, L207="S"), "Negado", "Aprovado"))))</f>
        <v>Inativo</v>
      </c>
      <c r="P207" s="2">
        <f>IF(OR(N207="Negado", O207="Negado", A207="", L207=""), 0, IF(A207="Ativo", M207*0.08, 0))</f>
        <v>0</v>
      </c>
    </row>
    <row r="208" spans="1:16">
      <c r="B208" s="47" t="s">
        <v>803</v>
      </c>
      <c r="C208" s="47" t="s">
        <v>835</v>
      </c>
      <c r="D208" s="5">
        <v>61</v>
      </c>
      <c r="E208" s="8">
        <v>23834</v>
      </c>
      <c r="F208" t="s">
        <v>212</v>
      </c>
      <c r="G208" t="s">
        <v>144</v>
      </c>
      <c r="H208" s="9">
        <v>9100</v>
      </c>
      <c r="I208" s="9">
        <v>49000</v>
      </c>
      <c r="J208" s="5">
        <v>1</v>
      </c>
      <c r="K208" s="5" t="str">
        <f>IF(J208&lt;=10, "Baixo", IF(J208&lt;=25, "Médio", "Alto"))</f>
        <v>Baixo</v>
      </c>
      <c r="L208" s="5" t="s">
        <v>874</v>
      </c>
      <c r="M208" s="2">
        <v>48000</v>
      </c>
      <c r="N208" s="5" t="str">
        <f>IF(A208="Inativo", "Inativo", IF(A208="", "Negado", IF(COUNTIF(C:C, C208)&gt;1, "Negado", IF(AND(K208="Alto", L208="S"), "Negado", "Aprovado"))))</f>
        <v>Negado</v>
      </c>
      <c r="O208" s="5" t="str">
        <f>IF(A208="Inativo", "Inativo", IF(A208="", "Negado", IF(COUNTIF(C:C, C208)&gt;1, "Negado", IF(AND(I208&gt;50000, L208="S"), "Negado", "Aprovado"))))</f>
        <v>Negado</v>
      </c>
      <c r="P208" s="2">
        <f>IF(OR(N208="Negado", O208="Negado", A208="", L208=""), 0, IF(A208="Ativo", M208*0.08, 0))</f>
        <v>0</v>
      </c>
    </row>
    <row r="209" spans="1:16">
      <c r="A209" s="5" t="s">
        <v>72</v>
      </c>
      <c r="B209" s="47" t="s">
        <v>126</v>
      </c>
      <c r="C209" s="47" t="s">
        <v>959</v>
      </c>
      <c r="D209" s="5">
        <v>38</v>
      </c>
      <c r="E209" s="8">
        <v>32260</v>
      </c>
      <c r="F209" t="s">
        <v>107</v>
      </c>
      <c r="G209" t="s">
        <v>108</v>
      </c>
      <c r="H209" s="9">
        <v>17600</v>
      </c>
      <c r="I209" s="9">
        <v>0</v>
      </c>
      <c r="J209" s="5">
        <v>31</v>
      </c>
      <c r="K209" s="5" t="str">
        <f>IF(J209&lt;=10, "Baixo", IF(J209&lt;=25, "Médio", "Alto"))</f>
        <v>Alto</v>
      </c>
      <c r="L209" s="5" t="s">
        <v>876</v>
      </c>
      <c r="M209" s="2">
        <v>47500</v>
      </c>
      <c r="N209" s="5" t="str">
        <f>IF(A209="Inativo", "Inativo", IF(A209="", "Negado", IF(COUNTIF(C:C, C209)&gt;1, "Negado", IF(AND(K209="Alto", L209="S"), "Negado", "Aprovado"))))</f>
        <v>Negado</v>
      </c>
      <c r="O209" s="5" t="str">
        <f>IF(A209="Inativo", "Inativo", IF(A209="", "Negado", IF(COUNTIF(C:C, C209)&gt;1, "Negado", IF(AND(I209&gt;50000, L209="S"), "Negado", "Aprovado"))))</f>
        <v>Aprovado</v>
      </c>
      <c r="P209" s="2">
        <f>IF(OR(N209="Negado", O209="Negado", A209="", L209=""), 0, IF(A209="Ativo", M209*0.08, 0))</f>
        <v>0</v>
      </c>
    </row>
    <row r="210" spans="1:16">
      <c r="A210" s="5" t="s">
        <v>72</v>
      </c>
      <c r="B210" s="47" t="s">
        <v>162</v>
      </c>
      <c r="C210" s="47" t="s">
        <v>163</v>
      </c>
      <c r="D210" s="5">
        <v>58</v>
      </c>
      <c r="E210" s="8">
        <v>24911</v>
      </c>
      <c r="F210" t="s">
        <v>164</v>
      </c>
      <c r="G210" t="s">
        <v>134</v>
      </c>
      <c r="H210" s="9">
        <v>25400</v>
      </c>
      <c r="I210" s="9">
        <v>70500</v>
      </c>
      <c r="J210" s="5">
        <v>11</v>
      </c>
      <c r="K210" s="5" t="str">
        <f>IF(J210&lt;=10, "Baixo", IF(J210&lt;=25, "Médio", "Alto"))</f>
        <v>Médio</v>
      </c>
      <c r="L210" s="5" t="s">
        <v>876</v>
      </c>
      <c r="M210" s="2">
        <v>47000</v>
      </c>
      <c r="N210" s="5" t="str">
        <f>IF(A210="Inativo", "Inativo", IF(A210="", "Negado", IF(COUNTIF(C:C, C210)&gt;1, "Negado", IF(AND(K210="Alto", L210="S"), "Negado", "Aprovado"))))</f>
        <v>Aprovado</v>
      </c>
      <c r="O210" s="5" t="str">
        <f>IF(A210="Inativo", "Inativo", IF(A210="", "Negado", IF(COUNTIF(C:C, C210)&gt;1, "Negado", IF(AND(I210&gt;50000, L210="S"), "Negado", "Aprovado"))))</f>
        <v>Negado</v>
      </c>
      <c r="P210" s="2">
        <f>IF(OR(N210="Negado", O210="Negado", A210="", L210=""), 0, IF(A210="Ativo", M210*0.08, 0))</f>
        <v>0</v>
      </c>
    </row>
    <row r="211" spans="1:16">
      <c r="A211" s="5" t="s">
        <v>77</v>
      </c>
      <c r="B211" s="47" t="s">
        <v>446</v>
      </c>
      <c r="C211" s="47" t="s">
        <v>447</v>
      </c>
      <c r="D211" s="5">
        <v>63</v>
      </c>
      <c r="E211" s="8">
        <v>22924</v>
      </c>
      <c r="F211" t="s">
        <v>122</v>
      </c>
      <c r="G211" t="s">
        <v>117</v>
      </c>
      <c r="H211" s="9">
        <v>29000</v>
      </c>
      <c r="I211" s="9">
        <v>36500</v>
      </c>
      <c r="J211" s="5">
        <v>38</v>
      </c>
      <c r="K211" s="5" t="str">
        <f>IF(J211&lt;=10, "Baixo", IF(J211&lt;=25, "Médio", "Alto"))</f>
        <v>Alto</v>
      </c>
      <c r="L211" s="5" t="s">
        <v>874</v>
      </c>
      <c r="M211" s="2">
        <v>47000</v>
      </c>
      <c r="N211" s="5" t="str">
        <f>IF(A211="Inativo", "Inativo", IF(A211="", "Negado", IF(COUNTIF(C:C, C211)&gt;1, "Negado", IF(AND(K211="Alto", L211="S"), "Negado", "Aprovado"))))</f>
        <v>Inativo</v>
      </c>
      <c r="O211" s="5" t="str">
        <f>IF(A211="Inativo", "Inativo", IF(A211="", "Negado", IF(COUNTIF(C:C, C211)&gt;1, "Negado", IF(AND(I211&gt;50000, L211="S"), "Negado", "Aprovado"))))</f>
        <v>Inativo</v>
      </c>
      <c r="P211" s="2">
        <f>IF(OR(N211="Negado", O211="Negado", A211="", L211=""), 0, IF(A211="Ativo", M211*0.08, 0))</f>
        <v>0</v>
      </c>
    </row>
    <row r="212" spans="1:16">
      <c r="A212" s="5" t="s">
        <v>77</v>
      </c>
      <c r="B212" s="47" t="s">
        <v>430</v>
      </c>
      <c r="C212" s="47" t="s">
        <v>431</v>
      </c>
      <c r="D212" s="5">
        <v>29</v>
      </c>
      <c r="E212" s="8">
        <v>35598</v>
      </c>
      <c r="F212" t="s">
        <v>179</v>
      </c>
      <c r="G212" t="s">
        <v>179</v>
      </c>
      <c r="H212" s="9">
        <v>15500</v>
      </c>
      <c r="I212" s="9">
        <v>75000</v>
      </c>
      <c r="J212" s="5">
        <v>25</v>
      </c>
      <c r="K212" s="5" t="str">
        <f>IF(J212&lt;=10, "Baixo", IF(J212&lt;=25, "Médio", "Alto"))</f>
        <v>Médio</v>
      </c>
      <c r="L212" s="5" t="s">
        <v>874</v>
      </c>
      <c r="M212" s="2">
        <v>47000</v>
      </c>
      <c r="N212" s="5" t="str">
        <f>IF(A212="Inativo", "Inativo", IF(A212="", "Negado", IF(COUNTIF(C:C, C212)&gt;1, "Negado", IF(AND(K212="Alto", L212="S"), "Negado", "Aprovado"))))</f>
        <v>Inativo</v>
      </c>
      <c r="O212" s="5" t="str">
        <f>IF(A212="Inativo", "Inativo", IF(A212="", "Negado", IF(COUNTIF(C:C, C212)&gt;1, "Negado", IF(AND(I212&gt;50000, L212="S"), "Negado", "Aprovado"))))</f>
        <v>Inativo</v>
      </c>
      <c r="P212" s="2">
        <f>IF(OR(N212="Negado", O212="Negado", A212="", L212=""), 0, IF(A212="Ativo", M212*0.08, 0))</f>
        <v>0</v>
      </c>
    </row>
    <row r="213" spans="1:16">
      <c r="A213" s="5" t="s">
        <v>72</v>
      </c>
      <c r="B213" s="47" t="s">
        <v>506</v>
      </c>
      <c r="C213" s="47" t="s">
        <v>960</v>
      </c>
      <c r="D213" s="5">
        <v>26</v>
      </c>
      <c r="E213" s="8">
        <v>36596</v>
      </c>
      <c r="F213" t="s">
        <v>149</v>
      </c>
      <c r="G213" t="s">
        <v>137</v>
      </c>
      <c r="H213" s="9">
        <v>3500</v>
      </c>
      <c r="I213" s="9">
        <v>50000</v>
      </c>
      <c r="J213" s="5">
        <v>40</v>
      </c>
      <c r="K213" s="5" t="str">
        <f>IF(J213&lt;=10, "Baixo", IF(J213&lt;=25, "Médio", "Alto"))</f>
        <v>Alto</v>
      </c>
      <c r="L213" s="5" t="s">
        <v>874</v>
      </c>
      <c r="M213" s="2">
        <v>46500</v>
      </c>
      <c r="N213" s="5" t="str">
        <f>IF(A213="Inativo", "Inativo", IF(A213="", "Negado", IF(COUNTIF(C:C, C213)&gt;1, "Negado", IF(AND(K213="Alto", L213="S"), "Negado", "Aprovado"))))</f>
        <v>Aprovado</v>
      </c>
      <c r="O213" s="5" t="str">
        <f>IF(A213="Inativo", "Inativo", IF(A213="", "Negado", IF(COUNTIF(C:C, C213)&gt;1, "Negado", IF(AND(I213&gt;50000, L213="S"), "Negado", "Aprovado"))))</f>
        <v>Aprovado</v>
      </c>
      <c r="P213" s="2">
        <f>IF(OR(N213="Negado", O213="Negado", A213="", L213=""), 0, IF(A213="Ativo", M213*0.08, 0))</f>
        <v>3720</v>
      </c>
    </row>
    <row r="214" spans="1:16">
      <c r="A214" s="5" t="s">
        <v>72</v>
      </c>
      <c r="B214" s="47" t="s">
        <v>616</v>
      </c>
      <c r="C214" s="47" t="s">
        <v>617</v>
      </c>
      <c r="D214" s="5">
        <v>19</v>
      </c>
      <c r="E214" s="8">
        <v>39230</v>
      </c>
      <c r="F214" t="s">
        <v>168</v>
      </c>
      <c r="G214" t="s">
        <v>144</v>
      </c>
      <c r="H214" s="9">
        <v>18000</v>
      </c>
      <c r="I214" s="9">
        <v>49500</v>
      </c>
      <c r="J214" s="5">
        <v>25</v>
      </c>
      <c r="K214" s="5" t="str">
        <f>IF(J214&lt;=10, "Baixo", IF(J214&lt;=25, "Médio", "Alto"))</f>
        <v>Médio</v>
      </c>
      <c r="L214" s="5" t="s">
        <v>874</v>
      </c>
      <c r="M214" s="2">
        <v>46500</v>
      </c>
      <c r="N214" s="5" t="str">
        <f>IF(A214="Inativo", "Inativo", IF(A214="", "Negado", IF(COUNTIF(C:C, C214)&gt;1, "Negado", IF(AND(K214="Alto", L214="S"), "Negado", "Aprovado"))))</f>
        <v>Aprovado</v>
      </c>
      <c r="O214" s="5" t="str">
        <f>IF(A214="Inativo", "Inativo", IF(A214="", "Negado", IF(COUNTIF(C:C, C214)&gt;1, "Negado", IF(AND(I214&gt;50000, L214="S"), "Negado", "Aprovado"))))</f>
        <v>Aprovado</v>
      </c>
      <c r="P214" s="2">
        <f>IF(OR(N214="Negado", O214="Negado", A214="", L214=""), 0, IF(A214="Ativo", M214*0.08, 0))</f>
        <v>3720</v>
      </c>
    </row>
    <row r="215" spans="1:16">
      <c r="A215" s="5" t="s">
        <v>72</v>
      </c>
      <c r="B215" s="47" t="s">
        <v>302</v>
      </c>
      <c r="C215" s="47" t="s">
        <v>303</v>
      </c>
      <c r="D215" s="5">
        <v>25</v>
      </c>
      <c r="E215" s="8">
        <v>37091</v>
      </c>
      <c r="F215" t="s">
        <v>75</v>
      </c>
      <c r="G215" t="s">
        <v>76</v>
      </c>
      <c r="H215" s="9">
        <v>28800</v>
      </c>
      <c r="I215" s="9">
        <v>0</v>
      </c>
      <c r="J215" s="5">
        <v>12</v>
      </c>
      <c r="K215" s="5" t="str">
        <f>IF(J215&lt;=10, "Baixo", IF(J215&lt;=25, "Médio", "Alto"))</f>
        <v>Médio</v>
      </c>
      <c r="L215" s="5" t="s">
        <v>874</v>
      </c>
      <c r="M215" s="2">
        <v>46500</v>
      </c>
      <c r="N215" s="5" t="str">
        <f>IF(A215="Inativo", "Inativo", IF(A215="", "Negado", IF(COUNTIF(C:C, C215)&gt;1, "Negado", IF(AND(K215="Alto", L215="S"), "Negado", "Aprovado"))))</f>
        <v>Aprovado</v>
      </c>
      <c r="O215" s="5" t="str">
        <f>IF(A215="Inativo", "Inativo", IF(A215="", "Negado", IF(COUNTIF(C:C, C215)&gt;1, "Negado", IF(AND(I215&gt;50000, L215="S"), "Negado", "Aprovado"))))</f>
        <v>Aprovado</v>
      </c>
      <c r="P215" s="2">
        <f>IF(OR(N215="Negado", O215="Negado", A215="", L215=""), 0, IF(A215="Ativo", M215*0.08, 0))</f>
        <v>3720</v>
      </c>
    </row>
    <row r="216" spans="1:16">
      <c r="A216" s="5" t="s">
        <v>77</v>
      </c>
      <c r="B216" s="47" t="s">
        <v>383</v>
      </c>
      <c r="C216" s="47" t="s">
        <v>961</v>
      </c>
      <c r="D216" s="5">
        <v>73</v>
      </c>
      <c r="E216" s="8">
        <v>19299</v>
      </c>
      <c r="F216" t="s">
        <v>79</v>
      </c>
      <c r="G216" t="s">
        <v>301</v>
      </c>
      <c r="H216" s="9">
        <v>7100</v>
      </c>
      <c r="I216" s="9">
        <v>58000</v>
      </c>
      <c r="J216" s="5">
        <v>22</v>
      </c>
      <c r="K216" s="5" t="str">
        <f>IF(J216&lt;=10, "Baixo", IF(J216&lt;=25, "Médio", "Alto"))</f>
        <v>Médio</v>
      </c>
      <c r="L216" s="5" t="s">
        <v>876</v>
      </c>
      <c r="M216" s="2">
        <v>46500</v>
      </c>
      <c r="N216" s="5" t="str">
        <f>IF(A216="Inativo", "Inativo", IF(A216="", "Negado", IF(COUNTIF(C:C, C216)&gt;1, "Negado", IF(AND(K216="Alto", L216="S"), "Negado", "Aprovado"))))</f>
        <v>Inativo</v>
      </c>
      <c r="O216" s="5" t="str">
        <f>IF(A216="Inativo", "Inativo", IF(A216="", "Negado", IF(COUNTIF(C:C, C216)&gt;1, "Negado", IF(AND(I216&gt;50000, L216="S"), "Negado", "Aprovado"))))</f>
        <v>Inativo</v>
      </c>
      <c r="P216" s="2">
        <f>IF(OR(N216="Negado", O216="Negado", A216="", L216=""), 0, IF(A216="Ativo", M216*0.08, 0))</f>
        <v>0</v>
      </c>
    </row>
    <row r="217" spans="1:16">
      <c r="A217" s="5" t="s">
        <v>72</v>
      </c>
      <c r="B217" s="47" t="s">
        <v>471</v>
      </c>
      <c r="C217" s="47" t="s">
        <v>962</v>
      </c>
      <c r="D217" s="5">
        <v>43</v>
      </c>
      <c r="E217" s="8">
        <v>30355</v>
      </c>
      <c r="F217" t="s">
        <v>149</v>
      </c>
      <c r="G217" t="s">
        <v>137</v>
      </c>
      <c r="H217" s="9">
        <v>21700</v>
      </c>
      <c r="I217" s="9">
        <v>31000</v>
      </c>
      <c r="J217" s="5">
        <v>27</v>
      </c>
      <c r="K217" s="5" t="str">
        <f>IF(J217&lt;=10, "Baixo", IF(J217&lt;=25, "Médio", "Alto"))</f>
        <v>Alto</v>
      </c>
      <c r="L217" s="5" t="s">
        <v>874</v>
      </c>
      <c r="M217" s="2">
        <v>45500</v>
      </c>
      <c r="N217" s="5" t="str">
        <f>IF(A217="Inativo", "Inativo", IF(A217="", "Negado", IF(COUNTIF(C:C, C217)&gt;1, "Negado", IF(AND(K217="Alto", L217="S"), "Negado", "Aprovado"))))</f>
        <v>Aprovado</v>
      </c>
      <c r="O217" s="5" t="str">
        <f>IF(A217="Inativo", "Inativo", IF(A217="", "Negado", IF(COUNTIF(C:C, C217)&gt;1, "Negado", IF(AND(I217&gt;50000, L217="S"), "Negado", "Aprovado"))))</f>
        <v>Aprovado</v>
      </c>
      <c r="P217" s="2">
        <f>IF(OR(N217="Negado", O217="Negado", A217="", L217=""), 0, IF(A217="Ativo", M217*0.08, 0))</f>
        <v>3640</v>
      </c>
    </row>
    <row r="218" spans="1:16">
      <c r="A218" s="5" t="s">
        <v>72</v>
      </c>
      <c r="B218" s="47" t="s">
        <v>546</v>
      </c>
      <c r="C218" s="47" t="s">
        <v>963</v>
      </c>
      <c r="D218" s="5">
        <v>18</v>
      </c>
      <c r="E218" s="8">
        <v>39369</v>
      </c>
      <c r="F218" t="s">
        <v>116</v>
      </c>
      <c r="G218" t="s">
        <v>117</v>
      </c>
      <c r="H218" s="9">
        <v>18500</v>
      </c>
      <c r="I218" s="9">
        <v>74500</v>
      </c>
      <c r="J218" s="5">
        <v>20</v>
      </c>
      <c r="K218" s="5" t="str">
        <f>IF(J218&lt;=10, "Baixo", IF(J218&lt;=25, "Médio", "Alto"))</f>
        <v>Médio</v>
      </c>
      <c r="L218" s="5" t="s">
        <v>876</v>
      </c>
      <c r="M218" s="2">
        <v>45500</v>
      </c>
      <c r="N218" s="5" t="str">
        <f>IF(A218="Inativo", "Inativo", IF(A218="", "Negado", IF(COUNTIF(C:C, C218)&gt;1, "Negado", IF(AND(K218="Alto", L218="S"), "Negado", "Aprovado"))))</f>
        <v>Aprovado</v>
      </c>
      <c r="O218" s="5" t="str">
        <f>IF(A218="Inativo", "Inativo", IF(A218="", "Negado", IF(COUNTIF(C:C, C218)&gt;1, "Negado", IF(AND(I218&gt;50000, L218="S"), "Negado", "Aprovado"))))</f>
        <v>Negado</v>
      </c>
      <c r="P218" s="2">
        <f>IF(OR(N218="Negado", O218="Negado", A218="", L218=""), 0, IF(A218="Ativo", M218*0.08, 0))</f>
        <v>0</v>
      </c>
    </row>
    <row r="219" spans="1:16">
      <c r="A219" s="5" t="s">
        <v>77</v>
      </c>
      <c r="B219" s="47" t="s">
        <v>285</v>
      </c>
      <c r="C219" s="47" t="s">
        <v>286</v>
      </c>
      <c r="D219" s="5">
        <v>70</v>
      </c>
      <c r="E219" s="8">
        <v>20502</v>
      </c>
      <c r="F219" t="s">
        <v>98</v>
      </c>
      <c r="G219" t="s">
        <v>103</v>
      </c>
      <c r="H219" s="9">
        <v>2500</v>
      </c>
      <c r="I219" s="9">
        <v>0</v>
      </c>
      <c r="J219" s="5">
        <v>38</v>
      </c>
      <c r="K219" s="5" t="str">
        <f>IF(J219&lt;=10, "Baixo", IF(J219&lt;=25, "Médio", "Alto"))</f>
        <v>Alto</v>
      </c>
      <c r="L219" s="5" t="s">
        <v>874</v>
      </c>
      <c r="M219" s="2">
        <v>44500</v>
      </c>
      <c r="N219" s="5" t="str">
        <f>IF(A219="Inativo", "Inativo", IF(A219="", "Negado", IF(COUNTIF(C:C, C219)&gt;1, "Negado", IF(AND(K219="Alto", L219="S"), "Negado", "Aprovado"))))</f>
        <v>Inativo</v>
      </c>
      <c r="O219" s="5" t="str">
        <f>IF(A219="Inativo", "Inativo", IF(A219="", "Negado", IF(COUNTIF(C:C, C219)&gt;1, "Negado", IF(AND(I219&gt;50000, L219="S"), "Negado", "Aprovado"))))</f>
        <v>Inativo</v>
      </c>
      <c r="P219" s="2">
        <f>IF(OR(N219="Negado", O219="Negado", A219="", L219=""), 0, IF(A219="Ativo", M219*0.08, 0))</f>
        <v>0</v>
      </c>
    </row>
    <row r="220" spans="1:16">
      <c r="A220" s="5" t="s">
        <v>72</v>
      </c>
      <c r="B220" s="47" t="s">
        <v>272</v>
      </c>
      <c r="C220" s="47" t="s">
        <v>273</v>
      </c>
      <c r="D220" s="5">
        <v>41</v>
      </c>
      <c r="E220" s="8">
        <v>30944</v>
      </c>
      <c r="F220" t="s">
        <v>79</v>
      </c>
      <c r="G220" t="s">
        <v>301</v>
      </c>
      <c r="H220" s="9">
        <v>20000</v>
      </c>
      <c r="I220" s="9">
        <v>20500</v>
      </c>
      <c r="J220" s="5">
        <v>8</v>
      </c>
      <c r="K220" s="5" t="str">
        <f>IF(J220&lt;=10, "Baixo", IF(J220&lt;=25, "Médio", "Alto"))</f>
        <v>Baixo</v>
      </c>
      <c r="L220" s="5" t="s">
        <v>876</v>
      </c>
      <c r="M220" s="2">
        <v>44000</v>
      </c>
      <c r="N220" s="5" t="str">
        <f>IF(A220="Inativo", "Inativo", IF(A220="", "Negado", IF(COUNTIF(C:C, C220)&gt;1, "Negado", IF(AND(K220="Alto", L220="S"), "Negado", "Aprovado"))))</f>
        <v>Aprovado</v>
      </c>
      <c r="O220" s="5" t="str">
        <f>IF(A220="Inativo", "Inativo", IF(A220="", "Negado", IF(COUNTIF(C:C, C220)&gt;1, "Negado", IF(AND(I220&gt;50000, L220="S"), "Negado", "Aprovado"))))</f>
        <v>Aprovado</v>
      </c>
      <c r="P220" s="2">
        <f>IF(OR(N220="Negado", O220="Negado", A220="", L220=""), 0, IF(A220="Ativo", M220*0.08, 0))</f>
        <v>3520</v>
      </c>
    </row>
    <row r="221" spans="1:16">
      <c r="A221" s="5" t="s">
        <v>77</v>
      </c>
      <c r="B221" s="47" t="s">
        <v>825</v>
      </c>
      <c r="C221" s="47" t="s">
        <v>826</v>
      </c>
      <c r="D221" s="5">
        <v>67</v>
      </c>
      <c r="E221" s="8">
        <v>21494</v>
      </c>
      <c r="F221" t="s">
        <v>212</v>
      </c>
      <c r="G221" t="s">
        <v>144</v>
      </c>
      <c r="H221" s="9">
        <v>26300</v>
      </c>
      <c r="I221" s="9">
        <v>75500</v>
      </c>
      <c r="J221" s="5">
        <v>25</v>
      </c>
      <c r="K221" s="5" t="str">
        <f>IF(J221&lt;=10, "Baixo", IF(J221&lt;=25, "Médio", "Alto"))</f>
        <v>Médio</v>
      </c>
      <c r="L221" s="5" t="s">
        <v>876</v>
      </c>
      <c r="M221" s="2">
        <v>44000</v>
      </c>
      <c r="N221" s="5" t="str">
        <f>IF(A221="Inativo", "Inativo", IF(A221="", "Negado", IF(COUNTIF(C:C, C221)&gt;1, "Negado", IF(AND(K221="Alto", L221="S"), "Negado", "Aprovado"))))</f>
        <v>Inativo</v>
      </c>
      <c r="O221" s="5" t="str">
        <f>IF(A221="Inativo", "Inativo", IF(A221="", "Negado", IF(COUNTIF(C:C, C221)&gt;1, "Negado", IF(AND(I221&gt;50000, L221="S"), "Negado", "Aprovado"))))</f>
        <v>Inativo</v>
      </c>
      <c r="P221" s="2">
        <f>IF(OR(N221="Negado", O221="Negado", A221="", L221=""), 0, IF(A221="Ativo", M221*0.08, 0))</f>
        <v>0</v>
      </c>
    </row>
    <row r="222" spans="1:16">
      <c r="A222" s="5" t="s">
        <v>72</v>
      </c>
      <c r="B222" s="47" t="s">
        <v>858</v>
      </c>
      <c r="C222" s="47" t="s">
        <v>859</v>
      </c>
      <c r="D222" s="5">
        <v>35</v>
      </c>
      <c r="E222" s="8">
        <v>33370</v>
      </c>
      <c r="F222" t="s">
        <v>84</v>
      </c>
      <c r="G222" t="s">
        <v>411</v>
      </c>
      <c r="H222" s="9">
        <v>5600</v>
      </c>
      <c r="I222" s="9">
        <v>69500</v>
      </c>
      <c r="J222" s="5">
        <v>13</v>
      </c>
      <c r="K222" s="5" t="str">
        <f>IF(J222&lt;=10, "Baixo", IF(J222&lt;=25, "Médio", "Alto"))</f>
        <v>Médio</v>
      </c>
      <c r="L222" s="5" t="s">
        <v>874</v>
      </c>
      <c r="M222" s="2">
        <v>43500</v>
      </c>
      <c r="N222" s="5" t="str">
        <f>IF(A222="Inativo", "Inativo", IF(A222="", "Negado", IF(COUNTIF(C:C, C222)&gt;1, "Negado", IF(AND(K222="Alto", L222="S"), "Negado", "Aprovado"))))</f>
        <v>Aprovado</v>
      </c>
      <c r="O222" s="5" t="str">
        <f>IF(A222="Inativo", "Inativo", IF(A222="", "Negado", IF(COUNTIF(C:C, C222)&gt;1, "Negado", IF(AND(I222&gt;50000, L222="S"), "Negado", "Aprovado"))))</f>
        <v>Aprovado</v>
      </c>
      <c r="P222" s="2">
        <f>IF(OR(N222="Negado", O222="Negado", A222="", L222=""), 0, IF(A222="Ativo", M222*0.08, 0))</f>
        <v>3480</v>
      </c>
    </row>
    <row r="223" spans="1:16">
      <c r="A223" s="5" t="s">
        <v>72</v>
      </c>
      <c r="B223" s="47" t="s">
        <v>513</v>
      </c>
      <c r="C223" s="47" t="s">
        <v>514</v>
      </c>
      <c r="D223" s="5">
        <v>60</v>
      </c>
      <c r="E223" s="8">
        <v>24021</v>
      </c>
      <c r="F223" t="s">
        <v>165</v>
      </c>
      <c r="G223" t="s">
        <v>137</v>
      </c>
      <c r="H223" s="9">
        <v>22900</v>
      </c>
      <c r="I223" s="9">
        <v>4500</v>
      </c>
      <c r="J223" s="5">
        <v>29</v>
      </c>
      <c r="K223" s="5" t="str">
        <f>IF(J223&lt;=10, "Baixo", IF(J223&lt;=25, "Médio", "Alto"))</f>
        <v>Alto</v>
      </c>
      <c r="L223" s="5" t="s">
        <v>876</v>
      </c>
      <c r="M223" s="2">
        <v>43500</v>
      </c>
      <c r="N223" s="5" t="str">
        <f>IF(A223="Inativo", "Inativo", IF(A223="", "Negado", IF(COUNTIF(C:C, C223)&gt;1, "Negado", IF(AND(K223="Alto", L223="S"), "Negado", "Aprovado"))))</f>
        <v>Negado</v>
      </c>
      <c r="O223" s="5" t="str">
        <f>IF(A223="Inativo", "Inativo", IF(A223="", "Negado", IF(COUNTIF(C:C, C223)&gt;1, "Negado", IF(AND(I223&gt;50000, L223="S"), "Negado", "Aprovado"))))</f>
        <v>Aprovado</v>
      </c>
      <c r="P223" s="2">
        <f>IF(OR(N223="Negado", O223="Negado", A223="", L223=""), 0, IF(A223="Ativo", M223*0.08, 0))</f>
        <v>0</v>
      </c>
    </row>
    <row r="224" spans="1:16">
      <c r="A224" s="5" t="s">
        <v>72</v>
      </c>
      <c r="B224" s="47" t="s">
        <v>698</v>
      </c>
      <c r="C224" s="47" t="s">
        <v>699</v>
      </c>
      <c r="D224" s="5">
        <v>53</v>
      </c>
      <c r="E224" s="8">
        <v>26840</v>
      </c>
      <c r="F224" t="s">
        <v>841</v>
      </c>
      <c r="G224" t="s">
        <v>137</v>
      </c>
      <c r="H224" s="9">
        <v>9500</v>
      </c>
      <c r="I224" s="9">
        <v>66500</v>
      </c>
      <c r="J224" s="5">
        <v>38</v>
      </c>
      <c r="K224" s="5" t="str">
        <f>IF(J224&lt;=10, "Baixo", IF(J224&lt;=25, "Médio", "Alto"))</f>
        <v>Alto</v>
      </c>
      <c r="L224" s="5" t="s">
        <v>876</v>
      </c>
      <c r="M224" s="2">
        <v>42500</v>
      </c>
      <c r="N224" s="5" t="str">
        <f>IF(A224="Inativo", "Inativo", IF(A224="", "Negado", IF(COUNTIF(C:C, C224)&gt;1, "Negado", IF(AND(K224="Alto", L224="S"), "Negado", "Aprovado"))))</f>
        <v>Negado</v>
      </c>
      <c r="O224" s="5" t="str">
        <f>IF(A224="Inativo", "Inativo", IF(A224="", "Negado", IF(COUNTIF(C:C, C224)&gt;1, "Negado", IF(AND(I224&gt;50000, L224="S"), "Negado", "Aprovado"))))</f>
        <v>Negado</v>
      </c>
      <c r="P224" s="2">
        <f>IF(OR(N224="Negado", O224="Negado", A224="", L224=""), 0, IF(A224="Ativo", M224*0.08, 0))</f>
        <v>0</v>
      </c>
    </row>
    <row r="225" spans="1:16">
      <c r="A225" s="5" t="s">
        <v>72</v>
      </c>
      <c r="B225" s="47" t="s">
        <v>869</v>
      </c>
      <c r="C225" s="47" t="s">
        <v>870</v>
      </c>
      <c r="D225" s="5">
        <v>52</v>
      </c>
      <c r="E225" s="8">
        <v>27214</v>
      </c>
      <c r="F225" t="s">
        <v>168</v>
      </c>
      <c r="G225" s="1" t="s">
        <v>144</v>
      </c>
      <c r="H225" s="9">
        <v>17500</v>
      </c>
      <c r="I225" s="9">
        <v>6500</v>
      </c>
      <c r="K225" s="5" t="str">
        <f>IF(J225&lt;=10, "Baixo", IF(J225&lt;=25, "Médio", "Alto"))</f>
        <v>Baixo</v>
      </c>
      <c r="L225" s="5" t="s">
        <v>874</v>
      </c>
      <c r="M225" s="2">
        <v>42500</v>
      </c>
      <c r="N225" s="5" t="str">
        <f>IF(A225="Inativo", "Inativo", IF(A225="", "Negado", IF(COUNTIF(C:C, C225)&gt;1, "Negado", IF(AND(K225="Alto", L225="S"), "Negado", "Aprovado"))))</f>
        <v>Aprovado</v>
      </c>
      <c r="O225" s="5" t="str">
        <f>IF(A225="Inativo", "Inativo", IF(A225="", "Negado", IF(COUNTIF(C:C, C225)&gt;1, "Negado", IF(AND(I225&gt;50000, L225="S"), "Negado", "Aprovado"))))</f>
        <v>Aprovado</v>
      </c>
      <c r="P225" s="2">
        <f>IF(OR(N225="Negado", O225="Negado", A225="", L225=""), 0, IF(A225="Ativo", M225*0.08, 0))</f>
        <v>3400</v>
      </c>
    </row>
    <row r="226" spans="1:16">
      <c r="A226" s="5" t="s">
        <v>72</v>
      </c>
      <c r="B226" s="47" t="s">
        <v>721</v>
      </c>
      <c r="C226" s="47" t="s">
        <v>722</v>
      </c>
      <c r="D226" s="5">
        <v>36</v>
      </c>
      <c r="E226" s="8">
        <v>33117</v>
      </c>
      <c r="F226" t="s">
        <v>240</v>
      </c>
      <c r="G226" t="s">
        <v>453</v>
      </c>
      <c r="H226" s="9">
        <v>11600</v>
      </c>
      <c r="I226" s="9">
        <v>78500</v>
      </c>
      <c r="J226" s="5">
        <v>1</v>
      </c>
      <c r="K226" s="5" t="str">
        <f>IF(J226&lt;=10, "Baixo", IF(J226&lt;=25, "Médio", "Alto"))</f>
        <v>Baixo</v>
      </c>
      <c r="L226" s="5" t="s">
        <v>874</v>
      </c>
      <c r="M226" s="2">
        <v>42000</v>
      </c>
      <c r="N226" s="5" t="str">
        <f>IF(A226="Inativo", "Inativo", IF(A226="", "Negado", IF(COUNTIF(C:C, C226)&gt;1, "Negado", IF(AND(K226="Alto", L226="S"), "Negado", "Aprovado"))))</f>
        <v>Aprovado</v>
      </c>
      <c r="O226" s="5" t="str">
        <f>IF(A226="Inativo", "Inativo", IF(A226="", "Negado", IF(COUNTIF(C:C, C226)&gt;1, "Negado", IF(AND(I226&gt;50000, L226="S"), "Negado", "Aprovado"))))</f>
        <v>Aprovado</v>
      </c>
      <c r="P226" s="2">
        <f>IF(OR(N226="Negado", O226="Negado", A226="", L226=""), 0, IF(A226="Ativo", M226*0.08, 0))</f>
        <v>3360</v>
      </c>
    </row>
    <row r="227" spans="1:16">
      <c r="A227" s="5" t="s">
        <v>72</v>
      </c>
      <c r="B227" s="47" t="s">
        <v>275</v>
      </c>
      <c r="C227" s="47" t="s">
        <v>276</v>
      </c>
      <c r="D227" s="5">
        <v>32</v>
      </c>
      <c r="E227" s="8">
        <v>34411</v>
      </c>
      <c r="F227" t="s">
        <v>179</v>
      </c>
      <c r="G227" t="s">
        <v>179</v>
      </c>
      <c r="H227" s="9">
        <v>0</v>
      </c>
      <c r="I227" s="9">
        <v>0</v>
      </c>
      <c r="J227" s="5">
        <v>20</v>
      </c>
      <c r="K227" s="5" t="str">
        <f>IF(J227&lt;=10, "Baixo", IF(J227&lt;=25, "Médio", "Alto"))</f>
        <v>Médio</v>
      </c>
      <c r="L227" s="5" t="s">
        <v>874</v>
      </c>
      <c r="M227" s="2">
        <v>42000</v>
      </c>
      <c r="N227" s="5" t="str">
        <f>IF(A227="Inativo", "Inativo", IF(A227="", "Negado", IF(COUNTIF(C:C, C227)&gt;1, "Negado", IF(AND(K227="Alto", L227="S"), "Negado", "Aprovado"))))</f>
        <v>Aprovado</v>
      </c>
      <c r="O227" s="5" t="str">
        <f>IF(A227="Inativo", "Inativo", IF(A227="", "Negado", IF(COUNTIF(C:C, C227)&gt;1, "Negado", IF(AND(I227&gt;50000, L227="S"), "Negado", "Aprovado"))))</f>
        <v>Aprovado</v>
      </c>
      <c r="P227" s="2">
        <f>IF(OR(N227="Negado", O227="Negado", A227="", L227=""), 0, IF(A227="Ativo", M227*0.08, 0))</f>
        <v>3360</v>
      </c>
    </row>
    <row r="228" spans="1:16">
      <c r="A228" s="5" t="s">
        <v>72</v>
      </c>
      <c r="B228" s="47" t="s">
        <v>393</v>
      </c>
      <c r="C228" s="47" t="s">
        <v>394</v>
      </c>
      <c r="D228" s="5">
        <v>67</v>
      </c>
      <c r="E228" s="8">
        <v>21624</v>
      </c>
      <c r="F228" t="s">
        <v>165</v>
      </c>
      <c r="G228" t="s">
        <v>137</v>
      </c>
      <c r="H228" s="9">
        <v>8500</v>
      </c>
      <c r="I228" s="9">
        <v>39500</v>
      </c>
      <c r="K228" s="5" t="str">
        <f>IF(J228&lt;=10, "Baixo", IF(J228&lt;=25, "Médio", "Alto"))</f>
        <v>Baixo</v>
      </c>
      <c r="L228" s="5" t="s">
        <v>876</v>
      </c>
      <c r="M228" s="2">
        <v>42000</v>
      </c>
      <c r="N228" s="5" t="str">
        <f>IF(A228="Inativo", "Inativo", IF(A228="", "Negado", IF(COUNTIF(C:C, C228)&gt;1, "Negado", IF(AND(K228="Alto", L228="S"), "Negado", "Aprovado"))))</f>
        <v>Aprovado</v>
      </c>
      <c r="O228" s="5" t="str">
        <f>IF(A228="Inativo", "Inativo", IF(A228="", "Negado", IF(COUNTIF(C:C, C228)&gt;1, "Negado", IF(AND(I228&gt;50000, L228="S"), "Negado", "Aprovado"))))</f>
        <v>Aprovado</v>
      </c>
      <c r="P228" s="2">
        <f>IF(OR(N228="Negado", O228="Negado", A228="", L228=""), 0, IF(A228="Ativo", M228*0.08, 0))</f>
        <v>3360</v>
      </c>
    </row>
    <row r="229" spans="1:16">
      <c r="A229" s="5" t="s">
        <v>72</v>
      </c>
      <c r="B229" s="47" t="s">
        <v>808</v>
      </c>
      <c r="C229" s="47" t="s">
        <v>809</v>
      </c>
      <c r="D229" s="5">
        <v>22</v>
      </c>
      <c r="E229" s="8">
        <v>38204</v>
      </c>
      <c r="F229" t="s">
        <v>75</v>
      </c>
      <c r="G229" t="s">
        <v>76</v>
      </c>
      <c r="H229" s="9">
        <v>10500</v>
      </c>
      <c r="I229" s="9">
        <v>50500</v>
      </c>
      <c r="J229" s="5">
        <v>16</v>
      </c>
      <c r="K229" s="5" t="str">
        <f>IF(J229&lt;=10, "Baixo", IF(J229&lt;=25, "Médio", "Alto"))</f>
        <v>Médio</v>
      </c>
      <c r="L229" s="5" t="s">
        <v>874</v>
      </c>
      <c r="M229" s="2">
        <v>41500</v>
      </c>
      <c r="N229" s="5" t="str">
        <f>IF(A229="Inativo", "Inativo", IF(A229="", "Negado", IF(COUNTIF(C:C, C229)&gt;1, "Negado", IF(AND(K229="Alto", L229="S"), "Negado", "Aprovado"))))</f>
        <v>Aprovado</v>
      </c>
      <c r="O229" s="5" t="str">
        <f>IF(A229="Inativo", "Inativo", IF(A229="", "Negado", IF(COUNTIF(C:C, C229)&gt;1, "Negado", IF(AND(I229&gt;50000, L229="S"), "Negado", "Aprovado"))))</f>
        <v>Aprovado</v>
      </c>
      <c r="P229" s="2">
        <f>IF(OR(N229="Negado", O229="Negado", A229="", L229=""), 0, IF(A229="Ativo", M229*0.08, 0))</f>
        <v>3320</v>
      </c>
    </row>
    <row r="230" spans="1:16">
      <c r="A230" s="5" t="s">
        <v>77</v>
      </c>
      <c r="B230" s="47" t="s">
        <v>964</v>
      </c>
      <c r="C230" s="47" t="s">
        <v>634</v>
      </c>
      <c r="D230" s="5">
        <v>36</v>
      </c>
      <c r="E230" s="8">
        <v>32914</v>
      </c>
      <c r="F230" t="s">
        <v>240</v>
      </c>
      <c r="G230" t="s">
        <v>453</v>
      </c>
      <c r="H230" s="9">
        <v>27600</v>
      </c>
      <c r="I230" s="9">
        <v>37000</v>
      </c>
      <c r="J230" s="5">
        <v>15</v>
      </c>
      <c r="K230" s="5" t="str">
        <f>IF(J230&lt;=10, "Baixo", IF(J230&lt;=25, "Médio", "Alto"))</f>
        <v>Médio</v>
      </c>
      <c r="L230" s="5" t="s">
        <v>874</v>
      </c>
      <c r="M230" s="2">
        <v>41500</v>
      </c>
      <c r="N230" s="5" t="str">
        <f>IF(A230="Inativo", "Inativo", IF(A230="", "Negado", IF(COUNTIF(C:C, C230)&gt;1, "Negado", IF(AND(K230="Alto", L230="S"), "Negado", "Aprovado"))))</f>
        <v>Inativo</v>
      </c>
      <c r="O230" s="5" t="str">
        <f>IF(A230="Inativo", "Inativo", IF(A230="", "Negado", IF(COUNTIF(C:C, C230)&gt;1, "Negado", IF(AND(I230&gt;50000, L230="S"), "Negado", "Aprovado"))))</f>
        <v>Inativo</v>
      </c>
      <c r="P230" s="2">
        <f>IF(OR(N230="Negado", O230="Negado", A230="", L230=""), 0, IF(A230="Ativo", M230*0.08, 0))</f>
        <v>0</v>
      </c>
    </row>
    <row r="231" spans="1:16">
      <c r="A231" s="5" t="s">
        <v>77</v>
      </c>
      <c r="B231" s="47" t="s">
        <v>480</v>
      </c>
      <c r="C231" s="47" t="s">
        <v>481</v>
      </c>
      <c r="D231" s="5">
        <v>30</v>
      </c>
      <c r="E231" s="8">
        <v>35213</v>
      </c>
      <c r="F231" t="s">
        <v>168</v>
      </c>
      <c r="G231" s="1" t="s">
        <v>144</v>
      </c>
      <c r="H231" s="9">
        <v>3900</v>
      </c>
      <c r="I231" s="9">
        <v>45000</v>
      </c>
      <c r="J231" s="5">
        <v>34</v>
      </c>
      <c r="K231" s="5" t="str">
        <f>IF(J231&lt;=10, "Baixo", IF(J231&lt;=25, "Médio", "Alto"))</f>
        <v>Alto</v>
      </c>
      <c r="L231" s="5" t="s">
        <v>874</v>
      </c>
      <c r="M231" s="2">
        <v>41500</v>
      </c>
      <c r="N231" s="5" t="str">
        <f>IF(A231="Inativo", "Inativo", IF(A231="", "Negado", IF(COUNTIF(C:C, C231)&gt;1, "Negado", IF(AND(K231="Alto", L231="S"), "Negado", "Aprovado"))))</f>
        <v>Inativo</v>
      </c>
      <c r="O231" s="5" t="str">
        <f>IF(A231="Inativo", "Inativo", IF(A231="", "Negado", IF(COUNTIF(C:C, C231)&gt;1, "Negado", IF(AND(I231&gt;50000, L231="S"), "Negado", "Aprovado"))))</f>
        <v>Inativo</v>
      </c>
      <c r="P231" s="2">
        <f>IF(OR(N231="Negado", O231="Negado", A231="", L231=""), 0, IF(A231="Ativo", M231*0.08, 0))</f>
        <v>0</v>
      </c>
    </row>
    <row r="232" spans="1:16">
      <c r="A232" s="5" t="s">
        <v>72</v>
      </c>
      <c r="B232" s="47" t="s">
        <v>521</v>
      </c>
      <c r="C232" s="47" t="s">
        <v>673</v>
      </c>
      <c r="D232" s="5">
        <v>53</v>
      </c>
      <c r="E232" s="8">
        <v>26558</v>
      </c>
      <c r="F232" t="s">
        <v>84</v>
      </c>
      <c r="G232" t="s">
        <v>411</v>
      </c>
      <c r="H232" s="9">
        <v>15500</v>
      </c>
      <c r="I232" s="9">
        <v>0</v>
      </c>
      <c r="J232" s="5">
        <v>16</v>
      </c>
      <c r="K232" s="5" t="str">
        <f>IF(J232&lt;=10, "Baixo", IF(J232&lt;=25, "Médio", "Alto"))</f>
        <v>Médio</v>
      </c>
      <c r="L232" s="5" t="s">
        <v>874</v>
      </c>
      <c r="M232" s="2">
        <v>41000</v>
      </c>
      <c r="N232" s="5" t="str">
        <f>IF(A232="Inativo", "Inativo", IF(A232="", "Negado", IF(COUNTIF(C:C, C232)&gt;1, "Negado", IF(AND(K232="Alto", L232="S"), "Negado", "Aprovado"))))</f>
        <v>Aprovado</v>
      </c>
      <c r="O232" s="5" t="str">
        <f>IF(A232="Inativo", "Inativo", IF(A232="", "Negado", IF(COUNTIF(C:C, C232)&gt;1, "Negado", IF(AND(I232&gt;50000, L232="S"), "Negado", "Aprovado"))))</f>
        <v>Aprovado</v>
      </c>
      <c r="P232" s="2">
        <f>IF(OR(N232="Negado", O232="Negado", A232="", L232=""), 0, IF(A232="Ativo", M232*0.08, 0))</f>
        <v>3280</v>
      </c>
    </row>
    <row r="233" spans="1:16">
      <c r="A233" s="5" t="s">
        <v>72</v>
      </c>
      <c r="B233" s="47" t="s">
        <v>93</v>
      </c>
      <c r="C233" s="47" t="s">
        <v>965</v>
      </c>
      <c r="D233" s="5">
        <v>48</v>
      </c>
      <c r="E233" s="8">
        <v>28408</v>
      </c>
      <c r="F233" t="s">
        <v>165</v>
      </c>
      <c r="G233" t="s">
        <v>137</v>
      </c>
      <c r="H233" s="9">
        <v>13300</v>
      </c>
      <c r="I233" s="9">
        <v>42000</v>
      </c>
      <c r="J233" s="5">
        <v>27</v>
      </c>
      <c r="K233" s="5" t="str">
        <f>IF(J233&lt;=10, "Baixo", IF(J233&lt;=25, "Médio", "Alto"))</f>
        <v>Alto</v>
      </c>
      <c r="L233" s="5" t="s">
        <v>876</v>
      </c>
      <c r="M233" s="2">
        <v>40000</v>
      </c>
      <c r="N233" s="5" t="str">
        <f>IF(A233="Inativo", "Inativo", IF(A233="", "Negado", IF(COUNTIF(C:C, C233)&gt;1, "Negado", IF(AND(K233="Alto", L233="S"), "Negado", "Aprovado"))))</f>
        <v>Negado</v>
      </c>
      <c r="O233" s="5" t="str">
        <f>IF(A233="Inativo", "Inativo", IF(A233="", "Negado", IF(COUNTIF(C:C, C233)&gt;1, "Negado", IF(AND(I233&gt;50000, L233="S"), "Negado", "Aprovado"))))</f>
        <v>Aprovado</v>
      </c>
      <c r="P233" s="2">
        <f>IF(OR(N233="Negado", O233="Negado", A233="", L233=""), 0, IF(A233="Ativo", M233*0.08, 0))</f>
        <v>0</v>
      </c>
    </row>
    <row r="234" spans="1:16">
      <c r="A234" s="5" t="s">
        <v>72</v>
      </c>
      <c r="B234" s="47" t="s">
        <v>718</v>
      </c>
      <c r="C234" s="47" t="s">
        <v>909</v>
      </c>
      <c r="D234" s="5">
        <v>26</v>
      </c>
      <c r="E234" s="8">
        <v>36759</v>
      </c>
      <c r="F234" t="s">
        <v>179</v>
      </c>
      <c r="G234" t="s">
        <v>179</v>
      </c>
      <c r="H234" s="9">
        <v>23200</v>
      </c>
      <c r="I234" s="9">
        <v>54500</v>
      </c>
      <c r="J234" s="5">
        <v>26</v>
      </c>
      <c r="K234" s="5" t="str">
        <f>IF(J234&lt;=10, "Baixo", IF(J234&lt;=25, "Médio", "Alto"))</f>
        <v>Alto</v>
      </c>
      <c r="L234" s="5" t="s">
        <v>876</v>
      </c>
      <c r="M234" s="2">
        <v>39500</v>
      </c>
      <c r="N234" s="5" t="str">
        <f>IF(A234="Inativo", "Inativo", IF(A234="", "Negado", IF(COUNTIF(C:C, C234)&gt;1, "Negado", IF(AND(K234="Alto", L234="S"), "Negado", "Aprovado"))))</f>
        <v>Negado</v>
      </c>
      <c r="O234" s="5" t="str">
        <f>IF(A234="Inativo", "Inativo", IF(A234="", "Negado", IF(COUNTIF(C:C, C234)&gt;1, "Negado", IF(AND(I234&gt;50000, L234="S"), "Negado", "Aprovado"))))</f>
        <v>Negado</v>
      </c>
      <c r="P234" s="2">
        <f>IF(OR(N234="Negado", O234="Negado", A234="", L234=""), 0, IF(A234="Ativo", M234*0.08, 0))</f>
        <v>0</v>
      </c>
    </row>
    <row r="235" spans="1:16">
      <c r="A235" s="5" t="s">
        <v>72</v>
      </c>
      <c r="B235" s="47" t="s">
        <v>732</v>
      </c>
      <c r="C235" s="47" t="s">
        <v>733</v>
      </c>
      <c r="D235" s="5">
        <v>39</v>
      </c>
      <c r="E235" s="8">
        <v>31968</v>
      </c>
      <c r="F235" t="s">
        <v>149</v>
      </c>
      <c r="G235" t="s">
        <v>137</v>
      </c>
      <c r="H235" s="9">
        <v>8000</v>
      </c>
      <c r="I235" s="9">
        <v>69000</v>
      </c>
      <c r="J235" s="5">
        <v>15</v>
      </c>
      <c r="K235" s="5" t="str">
        <f>IF(J235&lt;=10, "Baixo", IF(J235&lt;=25, "Médio", "Alto"))</f>
        <v>Médio</v>
      </c>
      <c r="L235" s="5" t="s">
        <v>874</v>
      </c>
      <c r="M235" s="2">
        <v>39500</v>
      </c>
      <c r="N235" s="5" t="str">
        <f>IF(A235="Inativo", "Inativo", IF(A235="", "Negado", IF(COUNTIF(C:C, C235)&gt;1, "Negado", IF(AND(K235="Alto", L235="S"), "Negado", "Aprovado"))))</f>
        <v>Negado</v>
      </c>
      <c r="O235" s="5" t="str">
        <f>IF(A235="Inativo", "Inativo", IF(A235="", "Negado", IF(COUNTIF(C:C, C235)&gt;1, "Negado", IF(AND(I235&gt;50000, L235="S"), "Negado", "Aprovado"))))</f>
        <v>Negado</v>
      </c>
      <c r="P235" s="2">
        <f>IF(OR(N235="Negado", O235="Negado", A235="", L235=""), 0, IF(A235="Ativo", M235*0.08, 0))</f>
        <v>0</v>
      </c>
    </row>
    <row r="236" spans="1:16">
      <c r="A236" s="5" t="s">
        <v>77</v>
      </c>
      <c r="B236" s="47" t="s">
        <v>131</v>
      </c>
      <c r="C236" s="47" t="s">
        <v>132</v>
      </c>
      <c r="D236" s="5">
        <v>47</v>
      </c>
      <c r="F236" t="s">
        <v>133</v>
      </c>
      <c r="G236" t="s">
        <v>134</v>
      </c>
      <c r="H236" s="9">
        <v>13300</v>
      </c>
      <c r="I236" s="9">
        <v>1000</v>
      </c>
      <c r="J236" s="5">
        <v>24</v>
      </c>
      <c r="K236" s="5" t="str">
        <f>IF(J236&lt;=10, "Baixo", IF(J236&lt;=25, "Médio", "Alto"))</f>
        <v>Médio</v>
      </c>
      <c r="L236" s="5" t="s">
        <v>876</v>
      </c>
      <c r="M236" s="2">
        <v>39500</v>
      </c>
      <c r="N236" s="5" t="str">
        <f>IF(A236="Inativo", "Inativo", IF(A236="", "Negado", IF(COUNTIF(C:C, C236)&gt;1, "Negado", IF(AND(K236="Alto", L236="S"), "Negado", "Aprovado"))))</f>
        <v>Inativo</v>
      </c>
      <c r="O236" s="5" t="str">
        <f>IF(A236="Inativo", "Inativo", IF(A236="", "Negado", IF(COUNTIF(C:C, C236)&gt;1, "Negado", IF(AND(I236&gt;50000, L236="S"), "Negado", "Aprovado"))))</f>
        <v>Inativo</v>
      </c>
      <c r="P236" s="2">
        <f>IF(OR(N236="Negado", O236="Negado", A236="", L236=""), 0, IF(A236="Ativo", M236*0.08, 0))</f>
        <v>0</v>
      </c>
    </row>
    <row r="237" spans="1:16">
      <c r="A237" s="5" t="s">
        <v>72</v>
      </c>
      <c r="B237" s="47" t="s">
        <v>380</v>
      </c>
      <c r="C237" s="47"/>
      <c r="D237" s="5">
        <v>73</v>
      </c>
      <c r="E237" s="8">
        <v>19538</v>
      </c>
      <c r="F237" t="s">
        <v>84</v>
      </c>
      <c r="G237" t="s">
        <v>411</v>
      </c>
      <c r="H237" s="9">
        <v>12700</v>
      </c>
      <c r="I237" s="9">
        <v>79500</v>
      </c>
      <c r="J237" s="5">
        <v>35</v>
      </c>
      <c r="K237" s="5" t="str">
        <f>IF(J237&lt;=10, "Baixo", IF(J237&lt;=25, "Médio", "Alto"))</f>
        <v>Alto</v>
      </c>
      <c r="L237" s="5" t="s">
        <v>874</v>
      </c>
      <c r="M237" s="2">
        <v>39000</v>
      </c>
      <c r="N237" s="5" t="str">
        <f>IF(A237="Inativo", "Inativo", IF(A237="", "Negado", IF(COUNTIF(C:C, C237)&gt;1, "Negado", IF(AND(K237="Alto", L237="S"), "Negado", "Aprovado"))))</f>
        <v>Aprovado</v>
      </c>
      <c r="O237" s="5" t="str">
        <f>IF(A237="Inativo", "Inativo", IF(A237="", "Negado", IF(COUNTIF(C:C, C237)&gt;1, "Negado", IF(AND(I237&gt;50000, L237="S"), "Negado", "Aprovado"))))</f>
        <v>Aprovado</v>
      </c>
      <c r="P237" s="2">
        <f>IF(OR(N237="Negado", O237="Negado", A237="", L237=""), 0, IF(A237="Ativo", M237*0.08, 0))</f>
        <v>3120</v>
      </c>
    </row>
    <row r="238" spans="1:16">
      <c r="A238" s="5" t="s">
        <v>77</v>
      </c>
      <c r="B238" s="47" t="s">
        <v>928</v>
      </c>
      <c r="C238" s="47" t="s">
        <v>353</v>
      </c>
      <c r="D238" s="5">
        <v>30</v>
      </c>
      <c r="E238" s="8">
        <v>35200</v>
      </c>
      <c r="F238" t="s">
        <v>122</v>
      </c>
      <c r="G238" t="s">
        <v>117</v>
      </c>
      <c r="H238" s="9">
        <v>26500</v>
      </c>
      <c r="I238" s="9">
        <v>14500</v>
      </c>
      <c r="J238" s="5">
        <v>15</v>
      </c>
      <c r="K238" s="5" t="str">
        <f>IF(J238&lt;=10, "Baixo", IF(J238&lt;=25, "Médio", "Alto"))</f>
        <v>Médio</v>
      </c>
      <c r="L238" s="5" t="s">
        <v>874</v>
      </c>
      <c r="M238" s="2">
        <v>39000</v>
      </c>
      <c r="N238" s="5" t="str">
        <f>IF(A238="Inativo", "Inativo", IF(A238="", "Negado", IF(COUNTIF(C:C, C238)&gt;1, "Negado", IF(AND(K238="Alto", L238="S"), "Negado", "Aprovado"))))</f>
        <v>Inativo</v>
      </c>
      <c r="O238" s="5" t="str">
        <f>IF(A238="Inativo", "Inativo", IF(A238="", "Negado", IF(COUNTIF(C:C, C238)&gt;1, "Negado", IF(AND(I238&gt;50000, L238="S"), "Negado", "Aprovado"))))</f>
        <v>Inativo</v>
      </c>
      <c r="P238" s="2">
        <f>IF(OR(N238="Negado", O238="Negado", A238="", L238=""), 0, IF(A238="Ativo", M238*0.08, 0))</f>
        <v>0</v>
      </c>
    </row>
    <row r="239" spans="1:16">
      <c r="A239" s="5" t="s">
        <v>77</v>
      </c>
      <c r="B239" s="47" t="s">
        <v>683</v>
      </c>
      <c r="C239" s="47" t="s">
        <v>684</v>
      </c>
      <c r="D239" s="5">
        <v>33</v>
      </c>
      <c r="E239" s="8">
        <v>33989</v>
      </c>
      <c r="F239" t="s">
        <v>220</v>
      </c>
      <c r="G239" t="s">
        <v>411</v>
      </c>
      <c r="H239" s="9">
        <v>23400</v>
      </c>
      <c r="I239" s="9">
        <v>59000</v>
      </c>
      <c r="J239" s="5">
        <v>35</v>
      </c>
      <c r="K239" s="5" t="str">
        <f>IF(J239&lt;=10, "Baixo", IF(J239&lt;=25, "Médio", "Alto"))</f>
        <v>Alto</v>
      </c>
      <c r="L239" s="5" t="s">
        <v>876</v>
      </c>
      <c r="M239" s="2">
        <v>39000</v>
      </c>
      <c r="N239" s="5" t="str">
        <f>IF(A239="Inativo", "Inativo", IF(A239="", "Negado", IF(COUNTIF(C:C, C239)&gt;1, "Negado", IF(AND(K239="Alto", L239="S"), "Negado", "Aprovado"))))</f>
        <v>Inativo</v>
      </c>
      <c r="O239" s="5" t="str">
        <f>IF(A239="Inativo", "Inativo", IF(A239="", "Negado", IF(COUNTIF(C:C, C239)&gt;1, "Negado", IF(AND(I239&gt;50000, L239="S"), "Negado", "Aprovado"))))</f>
        <v>Inativo</v>
      </c>
      <c r="P239" s="2">
        <f>IF(OR(N239="Negado", O239="Negado", A239="", L239=""), 0, IF(A239="Ativo", M239*0.08, 0))</f>
        <v>0</v>
      </c>
    </row>
    <row r="240" spans="1:16">
      <c r="A240" s="5" t="s">
        <v>72</v>
      </c>
      <c r="B240" s="47" t="s">
        <v>597</v>
      </c>
      <c r="C240" s="47" t="s">
        <v>598</v>
      </c>
      <c r="D240" s="5">
        <v>65</v>
      </c>
      <c r="E240" s="8">
        <v>22366</v>
      </c>
      <c r="F240" t="s">
        <v>168</v>
      </c>
      <c r="G240" t="s">
        <v>144</v>
      </c>
      <c r="H240" s="9">
        <v>18000</v>
      </c>
      <c r="I240" s="9">
        <v>0</v>
      </c>
      <c r="J240" s="5">
        <v>27</v>
      </c>
      <c r="K240" s="5" t="str">
        <f>IF(J240&lt;=10, "Baixo", IF(J240&lt;=25, "Médio", "Alto"))</f>
        <v>Alto</v>
      </c>
      <c r="L240" s="5" t="s">
        <v>874</v>
      </c>
      <c r="M240" s="2">
        <v>38500</v>
      </c>
      <c r="N240" s="5" t="str">
        <f>IF(A240="Inativo", "Inativo", IF(A240="", "Negado", IF(COUNTIF(C:C, C240)&gt;1, "Negado", IF(AND(K240="Alto", L240="S"), "Negado", "Aprovado"))))</f>
        <v>Aprovado</v>
      </c>
      <c r="O240" s="5" t="str">
        <f>IF(A240="Inativo", "Inativo", IF(A240="", "Negado", IF(COUNTIF(C:C, C240)&gt;1, "Negado", IF(AND(I240&gt;50000, L240="S"), "Negado", "Aprovado"))))</f>
        <v>Aprovado</v>
      </c>
      <c r="P240" s="2">
        <f>IF(OR(N240="Negado", O240="Negado", A240="", L240=""), 0, IF(A240="Ativo", M240*0.08, 0))</f>
        <v>3080</v>
      </c>
    </row>
    <row r="241" spans="1:16">
      <c r="A241" s="5" t="s">
        <v>77</v>
      </c>
      <c r="B241" s="47" t="s">
        <v>441</v>
      </c>
      <c r="C241" s="47" t="s">
        <v>966</v>
      </c>
      <c r="D241" s="5">
        <v>51</v>
      </c>
      <c r="E241" s="8">
        <v>27590</v>
      </c>
      <c r="F241" t="s">
        <v>136</v>
      </c>
      <c r="G241" t="s">
        <v>137</v>
      </c>
      <c r="H241" s="9">
        <v>19400</v>
      </c>
      <c r="I241" s="9">
        <v>4000</v>
      </c>
      <c r="J241" s="5">
        <v>30</v>
      </c>
      <c r="K241" s="5" t="str">
        <f>IF(J241&lt;=10, "Baixo", IF(J241&lt;=25, "Médio", "Alto"))</f>
        <v>Alto</v>
      </c>
      <c r="L241" s="5" t="s">
        <v>874</v>
      </c>
      <c r="M241" s="2">
        <v>38500</v>
      </c>
      <c r="N241" s="5" t="str">
        <f>IF(A241="Inativo", "Inativo", IF(A241="", "Negado", IF(COUNTIF(C:C, C241)&gt;1, "Negado", IF(AND(K241="Alto", L241="S"), "Negado", "Aprovado"))))</f>
        <v>Inativo</v>
      </c>
      <c r="O241" s="5" t="str">
        <f>IF(A241="Inativo", "Inativo", IF(A241="", "Negado", IF(COUNTIF(C:C, C241)&gt;1, "Negado", IF(AND(I241&gt;50000, L241="S"), "Negado", "Aprovado"))))</f>
        <v>Inativo</v>
      </c>
      <c r="P241" s="2">
        <f>IF(OR(N241="Negado", O241="Negado", A241="", L241=""), 0, IF(A241="Ativo", M241*0.08, 0))</f>
        <v>0</v>
      </c>
    </row>
    <row r="242" spans="1:16">
      <c r="A242" s="5" t="s">
        <v>72</v>
      </c>
      <c r="B242" s="47" t="s">
        <v>332</v>
      </c>
      <c r="C242" s="47" t="s">
        <v>333</v>
      </c>
      <c r="D242" s="5">
        <v>36</v>
      </c>
      <c r="E242" s="8">
        <v>32791</v>
      </c>
      <c r="F242" t="s">
        <v>168</v>
      </c>
      <c r="G242" t="s">
        <v>144</v>
      </c>
      <c r="H242" s="9">
        <v>23900</v>
      </c>
      <c r="I242" s="9">
        <v>58000</v>
      </c>
      <c r="J242" s="5">
        <v>27</v>
      </c>
      <c r="K242" s="5" t="str">
        <f>IF(J242&lt;=10, "Baixo", IF(J242&lt;=25, "Médio", "Alto"))</f>
        <v>Alto</v>
      </c>
      <c r="L242" s="5" t="s">
        <v>874</v>
      </c>
      <c r="M242" s="2">
        <v>38000</v>
      </c>
      <c r="N242" s="5" t="str">
        <f>IF(A242="Inativo", "Inativo", IF(A242="", "Negado", IF(COUNTIF(C:C, C242)&gt;1, "Negado", IF(AND(K242="Alto", L242="S"), "Negado", "Aprovado"))))</f>
        <v>Aprovado</v>
      </c>
      <c r="O242" s="5" t="str">
        <f>IF(A242="Inativo", "Inativo", IF(A242="", "Negado", IF(COUNTIF(C:C, C242)&gt;1, "Negado", IF(AND(I242&gt;50000, L242="S"), "Negado", "Aprovado"))))</f>
        <v>Aprovado</v>
      </c>
      <c r="P242" s="2">
        <f>IF(OR(N242="Negado", O242="Negado", A242="", L242=""), 0, IF(A242="Ativo", M242*0.08, 0))</f>
        <v>3040</v>
      </c>
    </row>
    <row r="243" spans="1:16">
      <c r="A243" s="5" t="s">
        <v>72</v>
      </c>
      <c r="B243" s="47" t="s">
        <v>439</v>
      </c>
      <c r="C243" s="47" t="s">
        <v>967</v>
      </c>
      <c r="D243" s="5">
        <v>41</v>
      </c>
      <c r="E243" s="8">
        <v>31115</v>
      </c>
      <c r="F243" t="s">
        <v>136</v>
      </c>
      <c r="G243" t="s">
        <v>137</v>
      </c>
      <c r="H243" s="9">
        <v>23100</v>
      </c>
      <c r="I243" s="9">
        <v>36000</v>
      </c>
      <c r="J243" s="5">
        <v>19</v>
      </c>
      <c r="K243" s="5" t="str">
        <f>IF(J243&lt;=10, "Baixo", IF(J243&lt;=25, "Médio", "Alto"))</f>
        <v>Médio</v>
      </c>
      <c r="L243" s="5" t="s">
        <v>874</v>
      </c>
      <c r="M243" s="2">
        <v>37500</v>
      </c>
      <c r="N243" s="5" t="str">
        <f>IF(A243="Inativo", "Inativo", IF(A243="", "Negado", IF(COUNTIF(C:C, C243)&gt;1, "Negado", IF(AND(K243="Alto", L243="S"), "Negado", "Aprovado"))))</f>
        <v>Aprovado</v>
      </c>
      <c r="O243" s="5" t="str">
        <f>IF(A243="Inativo", "Inativo", IF(A243="", "Negado", IF(COUNTIF(C:C, C243)&gt;1, "Negado", IF(AND(I243&gt;50000, L243="S"), "Negado", "Aprovado"))))</f>
        <v>Aprovado</v>
      </c>
      <c r="P243" s="2">
        <f>IF(OR(N243="Negado", O243="Negado", A243="", L243=""), 0, IF(A243="Ativo", M243*0.08, 0))</f>
        <v>3000</v>
      </c>
    </row>
    <row r="244" spans="1:16">
      <c r="A244" s="5" t="s">
        <v>72</v>
      </c>
      <c r="B244" s="47" t="s">
        <v>309</v>
      </c>
      <c r="C244" s="47" t="s">
        <v>310</v>
      </c>
      <c r="D244" s="5">
        <v>37</v>
      </c>
      <c r="E244" s="8">
        <v>32412</v>
      </c>
      <c r="F244" t="s">
        <v>157</v>
      </c>
      <c r="G244" t="s">
        <v>137</v>
      </c>
      <c r="H244" s="9">
        <v>24700</v>
      </c>
      <c r="I244" s="9">
        <v>23000</v>
      </c>
      <c r="J244" s="5">
        <v>10</v>
      </c>
      <c r="K244" s="5" t="str">
        <f>IF(J244&lt;=10, "Baixo", IF(J244&lt;=25, "Médio", "Alto"))</f>
        <v>Baixo</v>
      </c>
      <c r="L244" s="5" t="s">
        <v>876</v>
      </c>
      <c r="M244" s="2">
        <v>37500</v>
      </c>
      <c r="N244" s="5" t="str">
        <f>IF(A244="Inativo", "Inativo", IF(A244="", "Negado", IF(COUNTIF(C:C, C244)&gt;1, "Negado", IF(AND(K244="Alto", L244="S"), "Negado", "Aprovado"))))</f>
        <v>Aprovado</v>
      </c>
      <c r="O244" s="5" t="str">
        <f>IF(A244="Inativo", "Inativo", IF(A244="", "Negado", IF(COUNTIF(C:C, C244)&gt;1, "Negado", IF(AND(I244&gt;50000, L244="S"), "Negado", "Aprovado"))))</f>
        <v>Aprovado</v>
      </c>
      <c r="P244" s="2">
        <f>IF(OR(N244="Negado", O244="Negado", A244="", L244=""), 0, IF(A244="Ativo", M244*0.08, 0))</f>
        <v>3000</v>
      </c>
    </row>
    <row r="245" spans="1:16">
      <c r="A245" s="5" t="s">
        <v>77</v>
      </c>
      <c r="B245" s="47" t="s">
        <v>460</v>
      </c>
      <c r="C245" s="47" t="s">
        <v>968</v>
      </c>
      <c r="D245" s="5">
        <v>66</v>
      </c>
      <c r="E245" s="8">
        <v>21873</v>
      </c>
      <c r="F245" t="s">
        <v>157</v>
      </c>
      <c r="G245" t="s">
        <v>137</v>
      </c>
      <c r="H245" s="9">
        <v>9900</v>
      </c>
      <c r="I245" s="9">
        <v>42000</v>
      </c>
      <c r="J245" s="5">
        <v>13</v>
      </c>
      <c r="K245" s="5" t="str">
        <f>IF(J245&lt;=10, "Baixo", IF(J245&lt;=25, "Médio", "Alto"))</f>
        <v>Médio</v>
      </c>
      <c r="L245" s="5" t="s">
        <v>874</v>
      </c>
      <c r="M245" s="2">
        <v>37000</v>
      </c>
      <c r="N245" s="5" t="str">
        <f>IF(A245="Inativo", "Inativo", IF(A245="", "Negado", IF(COUNTIF(C:C, C245)&gt;1, "Negado", IF(AND(K245="Alto", L245="S"), "Negado", "Aprovado"))))</f>
        <v>Inativo</v>
      </c>
      <c r="O245" s="5" t="str">
        <f>IF(A245="Inativo", "Inativo", IF(A245="", "Negado", IF(COUNTIF(C:C, C245)&gt;1, "Negado", IF(AND(I245&gt;50000, L245="S"), "Negado", "Aprovado"))))</f>
        <v>Inativo</v>
      </c>
      <c r="P245" s="2">
        <f>IF(OR(N245="Negado", O245="Negado", A245="", L245=""), 0, IF(A245="Ativo", M245*0.08, 0))</f>
        <v>0</v>
      </c>
    </row>
    <row r="246" spans="1:16">
      <c r="A246" s="5" t="s">
        <v>72</v>
      </c>
      <c r="B246" s="47" t="s">
        <v>705</v>
      </c>
      <c r="C246" s="47" t="s">
        <v>706</v>
      </c>
      <c r="D246" s="5">
        <v>37</v>
      </c>
      <c r="E246" s="8">
        <v>32680</v>
      </c>
      <c r="F246" t="s">
        <v>122</v>
      </c>
      <c r="G246" t="s">
        <v>117</v>
      </c>
      <c r="H246" s="9">
        <v>28900</v>
      </c>
      <c r="I246" s="9">
        <v>71000</v>
      </c>
      <c r="J246" s="5">
        <v>28</v>
      </c>
      <c r="K246" s="5" t="str">
        <f>IF(J246&lt;=10, "Baixo", IF(J246&lt;=25, "Médio", "Alto"))</f>
        <v>Alto</v>
      </c>
      <c r="L246" s="5" t="s">
        <v>874</v>
      </c>
      <c r="M246" s="2">
        <v>36500</v>
      </c>
      <c r="N246" s="5" t="str">
        <f>IF(A246="Inativo", "Inativo", IF(A246="", "Negado", IF(COUNTIF(C:C, C246)&gt;1, "Negado", IF(AND(K246="Alto", L246="S"), "Negado", "Aprovado"))))</f>
        <v>Aprovado</v>
      </c>
      <c r="O246" s="5" t="str">
        <f>IF(A246="Inativo", "Inativo", IF(A246="", "Negado", IF(COUNTIF(C:C, C246)&gt;1, "Negado", IF(AND(I246&gt;50000, L246="S"), "Negado", "Aprovado"))))</f>
        <v>Aprovado</v>
      </c>
      <c r="P246" s="2">
        <f>IF(OR(N246="Negado", O246="Negado", A246="", L246=""), 0, IF(A246="Ativo", M246*0.08, 0))</f>
        <v>2920</v>
      </c>
    </row>
    <row r="247" spans="1:16">
      <c r="A247" s="5" t="s">
        <v>72</v>
      </c>
      <c r="B247" s="47" t="s">
        <v>89</v>
      </c>
      <c r="C247" s="47" t="s">
        <v>90</v>
      </c>
      <c r="D247" s="5">
        <v>63</v>
      </c>
      <c r="E247" s="8">
        <v>23156</v>
      </c>
      <c r="F247" t="s">
        <v>107</v>
      </c>
      <c r="G247" s="1" t="s">
        <v>108</v>
      </c>
      <c r="H247" s="9">
        <v>10400</v>
      </c>
      <c r="I247" s="9">
        <v>8500</v>
      </c>
      <c r="J247" s="5">
        <v>39</v>
      </c>
      <c r="K247" s="5" t="str">
        <f>IF(J247&lt;=10, "Baixo", IF(J247&lt;=25, "Médio", "Alto"))</f>
        <v>Alto</v>
      </c>
      <c r="L247" s="5" t="s">
        <v>874</v>
      </c>
      <c r="M247" s="2">
        <v>36500</v>
      </c>
      <c r="N247" s="5" t="str">
        <f>IF(A247="Inativo", "Inativo", IF(A247="", "Negado", IF(COUNTIF(C:C, C247)&gt;1, "Negado", IF(AND(K247="Alto", L247="S"), "Negado", "Aprovado"))))</f>
        <v>Aprovado</v>
      </c>
      <c r="O247" s="5" t="str">
        <f>IF(A247="Inativo", "Inativo", IF(A247="", "Negado", IF(COUNTIF(C:C, C247)&gt;1, "Negado", IF(AND(I247&gt;50000, L247="S"), "Negado", "Aprovado"))))</f>
        <v>Aprovado</v>
      </c>
      <c r="P247" s="2">
        <f>IF(OR(N247="Negado", O247="Negado", A247="", L247=""), 0, IF(A247="Ativo", M247*0.08, 0))</f>
        <v>2920</v>
      </c>
    </row>
    <row r="248" spans="1:16">
      <c r="A248" s="5" t="s">
        <v>72</v>
      </c>
      <c r="B248" s="47" t="s">
        <v>268</v>
      </c>
      <c r="C248" s="47" t="s">
        <v>969</v>
      </c>
      <c r="D248" s="5">
        <v>56</v>
      </c>
      <c r="E248" s="8">
        <v>25710</v>
      </c>
      <c r="F248" t="s">
        <v>157</v>
      </c>
      <c r="G248" t="s">
        <v>137</v>
      </c>
      <c r="H248" s="9">
        <v>14100</v>
      </c>
      <c r="I248" s="9">
        <v>1500</v>
      </c>
      <c r="J248" s="5">
        <v>26</v>
      </c>
      <c r="K248" s="5" t="str">
        <f>IF(J248&lt;=10, "Baixo", IF(J248&lt;=25, "Médio", "Alto"))</f>
        <v>Alto</v>
      </c>
      <c r="L248" s="5" t="s">
        <v>874</v>
      </c>
      <c r="M248" s="2">
        <v>36000</v>
      </c>
      <c r="N248" s="5" t="str">
        <f>IF(A248="Inativo", "Inativo", IF(A248="", "Negado", IF(COUNTIF(C:C, C248)&gt;1, "Negado", IF(AND(K248="Alto", L248="S"), "Negado", "Aprovado"))))</f>
        <v>Aprovado</v>
      </c>
      <c r="O248" s="5" t="str">
        <f>IF(A248="Inativo", "Inativo", IF(A248="", "Negado", IF(COUNTIF(C:C, C248)&gt;1, "Negado", IF(AND(I248&gt;50000, L248="S"), "Negado", "Aprovado"))))</f>
        <v>Aprovado</v>
      </c>
      <c r="P248" s="2">
        <f>IF(OR(N248="Negado", O248="Negado", A248="", L248=""), 0, IF(A248="Ativo", M248*0.08, 0))</f>
        <v>2880</v>
      </c>
    </row>
    <row r="249" spans="1:16">
      <c r="A249" s="5" t="s">
        <v>72</v>
      </c>
      <c r="B249" s="47" t="s">
        <v>790</v>
      </c>
      <c r="C249" s="47" t="s">
        <v>791</v>
      </c>
      <c r="D249" s="5">
        <v>44</v>
      </c>
      <c r="E249" s="8">
        <v>29892</v>
      </c>
      <c r="F249" t="s">
        <v>98</v>
      </c>
      <c r="G249" t="s">
        <v>103</v>
      </c>
      <c r="H249" s="9">
        <v>20600</v>
      </c>
      <c r="I249" s="9">
        <v>8000</v>
      </c>
      <c r="J249" s="5">
        <v>39</v>
      </c>
      <c r="K249" s="5" t="str">
        <f>IF(J249&lt;=10, "Baixo", IF(J249&lt;=25, "Médio", "Alto"))</f>
        <v>Alto</v>
      </c>
      <c r="L249" s="5" t="s">
        <v>874</v>
      </c>
      <c r="M249" s="2">
        <v>36000</v>
      </c>
      <c r="N249" s="5" t="str">
        <f>IF(A249="Inativo", "Inativo", IF(A249="", "Negado", IF(COUNTIF(C:C, C249)&gt;1, "Negado", IF(AND(K249="Alto", L249="S"), "Negado", "Aprovado"))))</f>
        <v>Aprovado</v>
      </c>
      <c r="O249" s="5" t="str">
        <f>IF(A249="Inativo", "Inativo", IF(A249="", "Negado", IF(COUNTIF(C:C, C249)&gt;1, "Negado", IF(AND(I249&gt;50000, L249="S"), "Negado", "Aprovado"))))</f>
        <v>Aprovado</v>
      </c>
      <c r="P249" s="2">
        <f>IF(OR(N249="Negado", O249="Negado", A249="", L249=""), 0, IF(A249="Ativo", M249*0.08, 0))</f>
        <v>2880</v>
      </c>
    </row>
    <row r="250" spans="1:16">
      <c r="A250" s="5" t="s">
        <v>72</v>
      </c>
      <c r="B250" s="47" t="s">
        <v>261</v>
      </c>
      <c r="C250" s="47" t="s">
        <v>970</v>
      </c>
      <c r="D250" s="5">
        <v>39</v>
      </c>
      <c r="E250" s="8">
        <v>31740</v>
      </c>
      <c r="F250" t="s">
        <v>107</v>
      </c>
      <c r="G250" t="s">
        <v>108</v>
      </c>
      <c r="H250" s="9">
        <v>13200</v>
      </c>
      <c r="I250" s="9">
        <v>0</v>
      </c>
      <c r="J250" s="5">
        <v>38</v>
      </c>
      <c r="K250" s="5" t="str">
        <f>IF(J250&lt;=10, "Baixo", IF(J250&lt;=25, "Médio", "Alto"))</f>
        <v>Alto</v>
      </c>
      <c r="L250" s="5" t="s">
        <v>874</v>
      </c>
      <c r="M250" s="2">
        <v>36000</v>
      </c>
      <c r="N250" s="5" t="str">
        <f>IF(A250="Inativo", "Inativo", IF(A250="", "Negado", IF(COUNTIF(C:C, C250)&gt;1, "Negado", IF(AND(K250="Alto", L250="S"), "Negado", "Aprovado"))))</f>
        <v>Aprovado</v>
      </c>
      <c r="O250" s="5" t="str">
        <f>IF(A250="Inativo", "Inativo", IF(A250="", "Negado", IF(COUNTIF(C:C, C250)&gt;1, "Negado", IF(AND(I250&gt;50000, L250="S"), "Negado", "Aprovado"))))</f>
        <v>Aprovado</v>
      </c>
      <c r="P250" s="2">
        <f>IF(OR(N250="Negado", O250="Negado", A250="", L250=""), 0, IF(A250="Ativo", M250*0.08, 0))</f>
        <v>2880</v>
      </c>
    </row>
    <row r="251" spans="1:16">
      <c r="A251" s="5" t="s">
        <v>77</v>
      </c>
      <c r="B251" s="47" t="s">
        <v>147</v>
      </c>
      <c r="C251" s="47" t="s">
        <v>148</v>
      </c>
      <c r="D251" s="5">
        <v>53</v>
      </c>
      <c r="E251" s="8">
        <v>26629</v>
      </c>
      <c r="F251" t="s">
        <v>149</v>
      </c>
      <c r="G251" t="s">
        <v>137</v>
      </c>
      <c r="H251" s="9">
        <v>16500</v>
      </c>
      <c r="I251" s="9">
        <v>4000</v>
      </c>
      <c r="J251" s="5">
        <v>14</v>
      </c>
      <c r="K251" s="5" t="str">
        <f>IF(J251&lt;=10, "Baixo", IF(J251&lt;=25, "Médio", "Alto"))</f>
        <v>Médio</v>
      </c>
      <c r="L251" s="5" t="s">
        <v>874</v>
      </c>
      <c r="M251" s="2">
        <v>36000</v>
      </c>
      <c r="N251" s="5" t="str">
        <f>IF(A251="Inativo", "Inativo", IF(A251="", "Negado", IF(COUNTIF(C:C, C251)&gt;1, "Negado", IF(AND(K251="Alto", L251="S"), "Negado", "Aprovado"))))</f>
        <v>Inativo</v>
      </c>
      <c r="O251" s="5" t="str">
        <f>IF(A251="Inativo", "Inativo", IF(A251="", "Negado", IF(COUNTIF(C:C, C251)&gt;1, "Negado", IF(AND(I251&gt;50000, L251="S"), "Negado", "Aprovado"))))</f>
        <v>Inativo</v>
      </c>
      <c r="P251" s="2">
        <f>IF(OR(N251="Negado", O251="Negado", A251="", L251=""), 0, IF(A251="Ativo", M251*0.08, 0))</f>
        <v>0</v>
      </c>
    </row>
    <row r="252" spans="1:16">
      <c r="A252" s="5" t="s">
        <v>72</v>
      </c>
      <c r="B252" s="47" t="s">
        <v>671</v>
      </c>
      <c r="C252" s="47" t="s">
        <v>971</v>
      </c>
      <c r="D252" s="5">
        <v>68</v>
      </c>
      <c r="E252" s="8">
        <v>21079</v>
      </c>
      <c r="F252" t="s">
        <v>240</v>
      </c>
      <c r="G252" t="s">
        <v>453</v>
      </c>
      <c r="H252" s="9">
        <v>3600</v>
      </c>
      <c r="I252" s="9">
        <v>64500</v>
      </c>
      <c r="J252" s="5">
        <v>32</v>
      </c>
      <c r="K252" s="5" t="str">
        <f>IF(J252&lt;=10, "Baixo", IF(J252&lt;=25, "Médio", "Alto"))</f>
        <v>Alto</v>
      </c>
      <c r="L252" s="5" t="s">
        <v>876</v>
      </c>
      <c r="M252" s="2">
        <v>35500</v>
      </c>
      <c r="N252" s="5" t="str">
        <f>IF(A252="Inativo", "Inativo", IF(A252="", "Negado", IF(COUNTIF(C:C, C252)&gt;1, "Negado", IF(AND(K252="Alto", L252="S"), "Negado", "Aprovado"))))</f>
        <v>Negado</v>
      </c>
      <c r="O252" s="5" t="str">
        <f>IF(A252="Inativo", "Inativo", IF(A252="", "Negado", IF(COUNTIF(C:C, C252)&gt;1, "Negado", IF(AND(I252&gt;50000, L252="S"), "Negado", "Aprovado"))))</f>
        <v>Negado</v>
      </c>
      <c r="P252" s="2">
        <f>IF(OR(N252="Negado", O252="Negado", A252="", L252=""), 0, IF(A252="Ativo", M252*0.08, 0))</f>
        <v>0</v>
      </c>
    </row>
    <row r="253" spans="1:16">
      <c r="A253" s="5" t="s">
        <v>72</v>
      </c>
      <c r="B253" s="47" t="s">
        <v>972</v>
      </c>
      <c r="C253" s="7" t="s">
        <v>973</v>
      </c>
      <c r="D253" s="5">
        <v>70</v>
      </c>
      <c r="E253" s="8">
        <v>20515</v>
      </c>
      <c r="F253" t="s">
        <v>122</v>
      </c>
      <c r="G253" t="s">
        <v>117</v>
      </c>
      <c r="H253" s="9">
        <v>19500</v>
      </c>
      <c r="I253" s="9">
        <v>62000</v>
      </c>
      <c r="J253" s="5">
        <v>45</v>
      </c>
      <c r="K253" s="5" t="str">
        <f>IF(J253&lt;=10, "Baixo", IF(J253&lt;=25, "Médio", "Alto"))</f>
        <v>Alto</v>
      </c>
      <c r="L253" s="5" t="s">
        <v>876</v>
      </c>
      <c r="M253" s="2">
        <v>35500</v>
      </c>
      <c r="N253" s="5" t="str">
        <f>IF(A253="Inativo", "Inativo", IF(A253="", "Negado", IF(COUNTIF(C:C, C253)&gt;1, "Negado", IF(AND(K253="Alto", L253="S"), "Negado", "Aprovado"))))</f>
        <v>Negado</v>
      </c>
      <c r="O253" s="5" t="str">
        <f>IF(A253="Inativo", "Inativo", IF(A253="", "Negado", IF(COUNTIF(C:C, C253)&gt;1, "Negado", IF(AND(I253&gt;50000, L253="S"), "Negado", "Aprovado"))))</f>
        <v>Negado</v>
      </c>
      <c r="P253" s="2">
        <f>IF(OR(N253="Negado", O253="Negado", A253="", L253=""), 0, IF(A253="Ativo", M253*0.08, 0))</f>
        <v>0</v>
      </c>
    </row>
    <row r="254" spans="1:16">
      <c r="A254" s="5" t="s">
        <v>72</v>
      </c>
      <c r="B254" s="47" t="s">
        <v>139</v>
      </c>
      <c r="C254" s="47" t="s">
        <v>140</v>
      </c>
      <c r="D254" s="5">
        <v>32</v>
      </c>
      <c r="E254" s="8">
        <v>34457</v>
      </c>
      <c r="F254" t="s">
        <v>133</v>
      </c>
      <c r="G254" t="s">
        <v>134</v>
      </c>
      <c r="H254" s="9">
        <v>21300</v>
      </c>
      <c r="I254" s="9">
        <v>48000</v>
      </c>
      <c r="J254" s="5">
        <v>11</v>
      </c>
      <c r="K254" s="5" t="str">
        <f>IF(J254&lt;=10, "Baixo", IF(J254&lt;=25, "Médio", "Alto"))</f>
        <v>Médio</v>
      </c>
      <c r="L254" s="5" t="s">
        <v>874</v>
      </c>
      <c r="M254" s="2">
        <v>35000</v>
      </c>
      <c r="N254" s="5" t="str">
        <f>IF(A254="Inativo", "Inativo", IF(A254="", "Negado", IF(COUNTIF(C:C, C254)&gt;1, "Negado", IF(AND(K254="Alto", L254="S"), "Negado", "Aprovado"))))</f>
        <v>Aprovado</v>
      </c>
      <c r="O254" s="5" t="str">
        <f>IF(A254="Inativo", "Inativo", IF(A254="", "Negado", IF(COUNTIF(C:C, C254)&gt;1, "Negado", IF(AND(I254&gt;50000, L254="S"), "Negado", "Aprovado"))))</f>
        <v>Aprovado</v>
      </c>
      <c r="P254" s="2">
        <f>IF(OR(N254="Negado", O254="Negado", A254="", L254=""), 0, IF(A254="Ativo", M254*0.08, 0))</f>
        <v>2800</v>
      </c>
    </row>
    <row r="255" spans="1:16">
      <c r="A255" s="5" t="s">
        <v>72</v>
      </c>
      <c r="B255" s="47" t="s">
        <v>184</v>
      </c>
      <c r="C255" s="47" t="s">
        <v>185</v>
      </c>
      <c r="D255" s="5">
        <v>42</v>
      </c>
      <c r="E255" s="8">
        <v>30878</v>
      </c>
      <c r="F255" t="s">
        <v>107</v>
      </c>
      <c r="G255" t="s">
        <v>108</v>
      </c>
      <c r="H255" s="9">
        <v>17500</v>
      </c>
      <c r="I255" s="9">
        <v>3500</v>
      </c>
      <c r="J255" s="5">
        <v>25</v>
      </c>
      <c r="K255" s="5" t="str">
        <f>IF(J255&lt;=10, "Baixo", IF(J255&lt;=25, "Médio", "Alto"))</f>
        <v>Médio</v>
      </c>
      <c r="L255" s="5" t="s">
        <v>874</v>
      </c>
      <c r="M255" s="2">
        <v>35000</v>
      </c>
      <c r="N255" s="5" t="str">
        <f>IF(A255="Inativo", "Inativo", IF(A255="", "Negado", IF(COUNTIF(C:C, C255)&gt;1, "Negado", IF(AND(K255="Alto", L255="S"), "Negado", "Aprovado"))))</f>
        <v>Aprovado</v>
      </c>
      <c r="O255" s="5" t="str">
        <f>IF(A255="Inativo", "Inativo", IF(A255="", "Negado", IF(COUNTIF(C:C, C255)&gt;1, "Negado", IF(AND(I255&gt;50000, L255="S"), "Negado", "Aprovado"))))</f>
        <v>Aprovado</v>
      </c>
      <c r="P255" s="2">
        <f>IF(OR(N255="Negado", O255="Negado", A255="", L255=""), 0, IF(A255="Ativo", M255*0.08, 0))</f>
        <v>2800</v>
      </c>
    </row>
    <row r="256" spans="1:16">
      <c r="A256" s="5" t="s">
        <v>72</v>
      </c>
      <c r="B256" s="47" t="s">
        <v>206</v>
      </c>
      <c r="C256" s="47" t="s">
        <v>207</v>
      </c>
      <c r="D256" s="5">
        <v>54</v>
      </c>
      <c r="E256" s="8">
        <v>26213</v>
      </c>
      <c r="F256" t="s">
        <v>143</v>
      </c>
      <c r="G256" t="s">
        <v>144</v>
      </c>
      <c r="H256" s="9">
        <v>29700</v>
      </c>
      <c r="I256" s="9">
        <v>34000</v>
      </c>
      <c r="J256" s="5">
        <v>35</v>
      </c>
      <c r="K256" s="5" t="str">
        <f>IF(J256&lt;=10, "Baixo", IF(J256&lt;=25, "Médio", "Alto"))</f>
        <v>Alto</v>
      </c>
      <c r="L256" s="5" t="s">
        <v>874</v>
      </c>
      <c r="M256" s="2">
        <v>35000</v>
      </c>
      <c r="N256" s="5" t="str">
        <f>IF(A256="Inativo", "Inativo", IF(A256="", "Negado", IF(COUNTIF(C:C, C256)&gt;1, "Negado", IF(AND(K256="Alto", L256="S"), "Negado", "Aprovado"))))</f>
        <v>Aprovado</v>
      </c>
      <c r="O256" s="5" t="str">
        <f>IF(A256="Inativo", "Inativo", IF(A256="", "Negado", IF(COUNTIF(C:C, C256)&gt;1, "Negado", IF(AND(I256&gt;50000, L256="S"), "Negado", "Aprovado"))))</f>
        <v>Aprovado</v>
      </c>
      <c r="P256" s="2">
        <f>IF(OR(N256="Negado", O256="Negado", A256="", L256=""), 0, IF(A256="Ativo", M256*0.08, 0))</f>
        <v>2800</v>
      </c>
    </row>
    <row r="257" spans="1:16">
      <c r="A257" s="5" t="s">
        <v>72</v>
      </c>
      <c r="B257" s="47" t="s">
        <v>692</v>
      </c>
      <c r="C257" s="47" t="s">
        <v>693</v>
      </c>
      <c r="D257" s="5">
        <v>52</v>
      </c>
      <c r="E257" s="8">
        <v>26921</v>
      </c>
      <c r="F257" t="s">
        <v>149</v>
      </c>
      <c r="G257" t="s">
        <v>137</v>
      </c>
      <c r="H257" s="9">
        <v>7300</v>
      </c>
      <c r="I257" s="9">
        <v>74000</v>
      </c>
      <c r="J257" s="5">
        <v>40</v>
      </c>
      <c r="K257" s="5" t="str">
        <f>IF(J257&lt;=10, "Baixo", IF(J257&lt;=25, "Médio", "Alto"))</f>
        <v>Alto</v>
      </c>
      <c r="L257" s="5" t="s">
        <v>874</v>
      </c>
      <c r="M257" s="2">
        <v>34500</v>
      </c>
      <c r="N257" s="5" t="str">
        <f>IF(A257="Inativo", "Inativo", IF(A257="", "Negado", IF(COUNTIF(C:C, C257)&gt;1, "Negado", IF(AND(K257="Alto", L257="S"), "Negado", "Aprovado"))))</f>
        <v>Aprovado</v>
      </c>
      <c r="O257" s="5" t="str">
        <f>IF(A257="Inativo", "Inativo", IF(A257="", "Negado", IF(COUNTIF(C:C, C257)&gt;1, "Negado", IF(AND(I257&gt;50000, L257="S"), "Negado", "Aprovado"))))</f>
        <v>Aprovado</v>
      </c>
      <c r="P257" s="2">
        <f>IF(OR(N257="Negado", O257="Negado", A257="", L257=""), 0, IF(A257="Ativo", M257*0.08, 0))</f>
        <v>2760</v>
      </c>
    </row>
    <row r="258" spans="1:16">
      <c r="A258" s="5" t="s">
        <v>72</v>
      </c>
      <c r="B258" s="47" t="s">
        <v>752</v>
      </c>
      <c r="C258" s="47" t="s">
        <v>753</v>
      </c>
      <c r="D258" s="5">
        <v>68</v>
      </c>
      <c r="E258" s="8">
        <v>21145</v>
      </c>
      <c r="F258" t="s">
        <v>79</v>
      </c>
      <c r="G258" t="s">
        <v>301</v>
      </c>
      <c r="H258" s="9">
        <v>24500</v>
      </c>
      <c r="I258" s="9">
        <v>16500</v>
      </c>
      <c r="J258" s="5">
        <v>22</v>
      </c>
      <c r="K258" s="5" t="str">
        <f>IF(J258&lt;=10, "Baixo", IF(J258&lt;=25, "Médio", "Alto"))</f>
        <v>Médio</v>
      </c>
      <c r="L258" s="5" t="s">
        <v>874</v>
      </c>
      <c r="M258" s="2">
        <v>34500</v>
      </c>
      <c r="N258" s="5" t="str">
        <f>IF(A258="Inativo", "Inativo", IF(A258="", "Negado", IF(COUNTIF(C:C, C258)&gt;1, "Negado", IF(AND(K258="Alto", L258="S"), "Negado", "Aprovado"))))</f>
        <v>Aprovado</v>
      </c>
      <c r="O258" s="5" t="str">
        <f>IF(A258="Inativo", "Inativo", IF(A258="", "Negado", IF(COUNTIF(C:C, C258)&gt;1, "Negado", IF(AND(I258&gt;50000, L258="S"), "Negado", "Aprovado"))))</f>
        <v>Aprovado</v>
      </c>
      <c r="P258" s="2">
        <f>IF(OR(N258="Negado", O258="Negado", A258="", L258=""), 0, IF(A258="Ativo", M258*0.08, 0))</f>
        <v>2760</v>
      </c>
    </row>
    <row r="259" spans="1:16">
      <c r="A259" s="5" t="s">
        <v>72</v>
      </c>
      <c r="B259" s="47" t="s">
        <v>743</v>
      </c>
      <c r="C259" s="47" t="s">
        <v>744</v>
      </c>
      <c r="D259" s="5">
        <v>67</v>
      </c>
      <c r="E259" s="8">
        <v>21522</v>
      </c>
      <c r="F259" t="s">
        <v>300</v>
      </c>
      <c r="G259" t="s">
        <v>301</v>
      </c>
      <c r="H259" s="9">
        <v>11300</v>
      </c>
      <c r="I259" s="9">
        <v>49500</v>
      </c>
      <c r="J259" s="5">
        <v>12</v>
      </c>
      <c r="K259" s="5" t="str">
        <f>IF(J259&lt;=10, "Baixo", IF(J259&lt;=25, "Médio", "Alto"))</f>
        <v>Médio</v>
      </c>
      <c r="L259" s="5" t="s">
        <v>874</v>
      </c>
      <c r="M259" s="2">
        <v>34500</v>
      </c>
      <c r="N259" s="5" t="str">
        <f>IF(A259="Inativo", "Inativo", IF(A259="", "Negado", IF(COUNTIF(C:C, C259)&gt;1, "Negado", IF(AND(K259="Alto", L259="S"), "Negado", "Aprovado"))))</f>
        <v>Aprovado</v>
      </c>
      <c r="O259" s="5" t="str">
        <f>IF(A259="Inativo", "Inativo", IF(A259="", "Negado", IF(COUNTIF(C:C, C259)&gt;1, "Negado", IF(AND(I259&gt;50000, L259="S"), "Negado", "Aprovado"))))</f>
        <v>Aprovado</v>
      </c>
      <c r="P259" s="2">
        <f>IF(OR(N259="Negado", O259="Negado", A259="", L259=""), 0, IF(A259="Ativo", M259*0.08, 0))</f>
        <v>2760</v>
      </c>
    </row>
    <row r="260" spans="1:16">
      <c r="A260" s="5" t="s">
        <v>72</v>
      </c>
      <c r="B260" s="47" t="s">
        <v>594</v>
      </c>
      <c r="C260" s="47" t="s">
        <v>199</v>
      </c>
      <c r="D260" s="5">
        <v>22</v>
      </c>
      <c r="F260" t="s">
        <v>116</v>
      </c>
      <c r="G260" t="s">
        <v>117</v>
      </c>
      <c r="H260" s="9">
        <v>14400</v>
      </c>
      <c r="I260" s="9">
        <v>0</v>
      </c>
      <c r="J260" s="5">
        <v>27</v>
      </c>
      <c r="K260" s="5" t="str">
        <f>IF(J260&lt;=10, "Baixo", IF(J260&lt;=25, "Médio", "Alto"))</f>
        <v>Alto</v>
      </c>
      <c r="L260" s="5" t="s">
        <v>874</v>
      </c>
      <c r="M260" s="2">
        <v>33500</v>
      </c>
      <c r="N260" s="5" t="str">
        <f>IF(A260="Inativo", "Inativo", IF(A260="", "Negado", IF(COUNTIF(C:C, C260)&gt;1, "Negado", IF(AND(K260="Alto", L260="S"), "Negado", "Aprovado"))))</f>
        <v>Aprovado</v>
      </c>
      <c r="O260" s="5" t="str">
        <f>IF(A260="Inativo", "Inativo", IF(A260="", "Negado", IF(COUNTIF(C:C, C260)&gt;1, "Negado", IF(AND(I260&gt;50000, L260="S"), "Negado", "Aprovado"))))</f>
        <v>Aprovado</v>
      </c>
      <c r="P260" s="2">
        <f>IF(OR(N260="Negado", O260="Negado", A260="", L260=""), 0, IF(A260="Ativo", M260*0.08, 0))</f>
        <v>2680</v>
      </c>
    </row>
    <row r="261" spans="1:16">
      <c r="A261" s="5" t="s">
        <v>72</v>
      </c>
      <c r="B261" s="47" t="s">
        <v>849</v>
      </c>
      <c r="C261" s="47" t="s">
        <v>850</v>
      </c>
      <c r="D261" s="5">
        <v>73</v>
      </c>
      <c r="E261" s="8">
        <v>19364</v>
      </c>
      <c r="F261" t="s">
        <v>212</v>
      </c>
      <c r="G261" t="s">
        <v>144</v>
      </c>
      <c r="H261" s="9">
        <v>16500</v>
      </c>
      <c r="I261" s="9">
        <v>54000</v>
      </c>
      <c r="J261" s="5">
        <v>11</v>
      </c>
      <c r="K261" s="5" t="str">
        <f>IF(J261&lt;=10, "Baixo", IF(J261&lt;=25, "Médio", "Alto"))</f>
        <v>Médio</v>
      </c>
      <c r="L261" s="5" t="s">
        <v>874</v>
      </c>
      <c r="M261" s="2">
        <v>33500</v>
      </c>
      <c r="N261" s="5" t="str">
        <f>IF(A261="Inativo", "Inativo", IF(A261="", "Negado", IF(COUNTIF(C:C, C261)&gt;1, "Negado", IF(AND(K261="Alto", L261="S"), "Negado", "Aprovado"))))</f>
        <v>Aprovado</v>
      </c>
      <c r="O261" s="5" t="str">
        <f>IF(A261="Inativo", "Inativo", IF(A261="", "Negado", IF(COUNTIF(C:C, C261)&gt;1, "Negado", IF(AND(I261&gt;50000, L261="S"), "Negado", "Aprovado"))))</f>
        <v>Aprovado</v>
      </c>
      <c r="P261" s="2">
        <f>IF(OR(N261="Negado", O261="Negado", A261="", L261=""), 0, IF(A261="Ativo", M261*0.08, 0))</f>
        <v>2680</v>
      </c>
    </row>
    <row r="262" spans="1:16">
      <c r="A262" s="5" t="s">
        <v>72</v>
      </c>
      <c r="B262" s="47" t="s">
        <v>646</v>
      </c>
      <c r="C262" s="47" t="s">
        <v>647</v>
      </c>
      <c r="D262" s="5">
        <v>71</v>
      </c>
      <c r="E262" s="8">
        <v>20187</v>
      </c>
      <c r="F262" t="s">
        <v>122</v>
      </c>
      <c r="G262" t="s">
        <v>117</v>
      </c>
      <c r="H262" s="9">
        <v>29200</v>
      </c>
      <c r="I262" s="9">
        <v>73500</v>
      </c>
      <c r="J262" s="5">
        <v>2</v>
      </c>
      <c r="K262" s="5" t="str">
        <f>IF(J262&lt;=10, "Baixo", IF(J262&lt;=25, "Médio", "Alto"))</f>
        <v>Baixo</v>
      </c>
      <c r="L262" s="5" t="s">
        <v>874</v>
      </c>
      <c r="M262" s="2">
        <v>33000</v>
      </c>
      <c r="N262" s="5" t="str">
        <f>IF(A262="Inativo", "Inativo", IF(A262="", "Negado", IF(COUNTIF(C:C, C262)&gt;1, "Negado", IF(AND(K262="Alto", L262="S"), "Negado", "Aprovado"))))</f>
        <v>Aprovado</v>
      </c>
      <c r="O262" s="5" t="str">
        <f>IF(A262="Inativo", "Inativo", IF(A262="", "Negado", IF(COUNTIF(C:C, C262)&gt;1, "Negado", IF(AND(I262&gt;50000, L262="S"), "Negado", "Aprovado"))))</f>
        <v>Aprovado</v>
      </c>
      <c r="P262" s="2">
        <f>IF(OR(N262="Negado", O262="Negado", A262="", L262=""), 0, IF(A262="Ativo", M262*0.08, 0))</f>
        <v>2640</v>
      </c>
    </row>
    <row r="263" spans="1:16">
      <c r="A263" s="5" t="s">
        <v>72</v>
      </c>
      <c r="B263" s="47" t="s">
        <v>861</v>
      </c>
      <c r="C263" s="47" t="s">
        <v>862</v>
      </c>
      <c r="D263" s="5">
        <v>58</v>
      </c>
      <c r="E263" s="8">
        <v>24777</v>
      </c>
      <c r="F263" t="s">
        <v>75</v>
      </c>
      <c r="G263" t="s">
        <v>76</v>
      </c>
      <c r="H263" s="9">
        <v>22200</v>
      </c>
      <c r="I263" s="9">
        <v>0</v>
      </c>
      <c r="J263" s="5">
        <v>42</v>
      </c>
      <c r="K263" s="5" t="str">
        <f>IF(J263&lt;=10, "Baixo", IF(J263&lt;=25, "Médio", "Alto"))</f>
        <v>Alto</v>
      </c>
      <c r="L263" s="5" t="s">
        <v>874</v>
      </c>
      <c r="M263" s="2">
        <v>33000</v>
      </c>
      <c r="N263" s="5" t="str">
        <f>IF(A263="Inativo", "Inativo", IF(A263="", "Negado", IF(COUNTIF(C:C, C263)&gt;1, "Negado", IF(AND(K263="Alto", L263="S"), "Negado", "Aprovado"))))</f>
        <v>Aprovado</v>
      </c>
      <c r="O263" s="5" t="str">
        <f>IF(A263="Inativo", "Inativo", IF(A263="", "Negado", IF(COUNTIF(C:C, C263)&gt;1, "Negado", IF(AND(I263&gt;50000, L263="S"), "Negado", "Aprovado"))))</f>
        <v>Aprovado</v>
      </c>
      <c r="P263" s="2">
        <f>IF(OR(N263="Negado", O263="Negado", A263="", L263=""), 0, IF(A263="Ativo", M263*0.08, 0))</f>
        <v>2640</v>
      </c>
    </row>
    <row r="264" spans="1:16">
      <c r="A264" s="5" t="s">
        <v>72</v>
      </c>
      <c r="B264" s="47" t="s">
        <v>533</v>
      </c>
      <c r="C264" s="47"/>
      <c r="D264" s="5">
        <v>24</v>
      </c>
      <c r="F264" t="s">
        <v>84</v>
      </c>
      <c r="G264" t="s">
        <v>411</v>
      </c>
      <c r="H264" s="9">
        <v>17000</v>
      </c>
      <c r="I264" s="9">
        <v>41000</v>
      </c>
      <c r="J264" s="5">
        <v>37</v>
      </c>
      <c r="K264" s="5" t="str">
        <f>IF(J264&lt;=10, "Baixo", IF(J264&lt;=25, "Médio", "Alto"))</f>
        <v>Alto</v>
      </c>
      <c r="L264" s="5" t="s">
        <v>874</v>
      </c>
      <c r="M264" s="2">
        <v>33000</v>
      </c>
      <c r="N264" s="5" t="str">
        <f>IF(A264="Inativo", "Inativo", IF(A264="", "Negado", IF(COUNTIF(C:C, C264)&gt;1, "Negado", IF(AND(K264="Alto", L264="S"), "Negado", "Aprovado"))))</f>
        <v>Aprovado</v>
      </c>
      <c r="O264" s="5" t="str">
        <f>IF(A264="Inativo", "Inativo", IF(A264="", "Negado", IF(COUNTIF(C:C, C264)&gt;1, "Negado", IF(AND(I264&gt;50000, L264="S"), "Negado", "Aprovado"))))</f>
        <v>Aprovado</v>
      </c>
      <c r="P264" s="2">
        <f>IF(OR(N264="Negado", O264="Negado", A264="", L264=""), 0, IF(A264="Ativo", M264*0.08, 0))</f>
        <v>2640</v>
      </c>
    </row>
    <row r="265" spans="1:16">
      <c r="A265" s="5" t="s">
        <v>72</v>
      </c>
      <c r="B265" s="47" t="s">
        <v>256</v>
      </c>
      <c r="C265" s="47" t="s">
        <v>257</v>
      </c>
      <c r="D265" s="5">
        <v>51</v>
      </c>
      <c r="E265" s="8">
        <v>27377</v>
      </c>
      <c r="F265" t="s">
        <v>107</v>
      </c>
      <c r="G265" t="s">
        <v>108</v>
      </c>
      <c r="H265" s="9">
        <v>16300</v>
      </c>
      <c r="I265" s="9">
        <v>0</v>
      </c>
      <c r="J265" s="5">
        <v>8</v>
      </c>
      <c r="K265" s="5" t="str">
        <f>IF(J265&lt;=10, "Baixo", IF(J265&lt;=25, "Médio", "Alto"))</f>
        <v>Baixo</v>
      </c>
      <c r="L265" s="5" t="s">
        <v>874</v>
      </c>
      <c r="M265" s="2">
        <v>33000</v>
      </c>
      <c r="N265" s="5" t="str">
        <f>IF(A265="Inativo", "Inativo", IF(A265="", "Negado", IF(COUNTIF(C:C, C265)&gt;1, "Negado", IF(AND(K265="Alto", L265="S"), "Negado", "Aprovado"))))</f>
        <v>Aprovado</v>
      </c>
      <c r="O265" s="5" t="str">
        <f>IF(A265="Inativo", "Inativo", IF(A265="", "Negado", IF(COUNTIF(C:C, C265)&gt;1, "Negado", IF(AND(I265&gt;50000, L265="S"), "Negado", "Aprovado"))))</f>
        <v>Aprovado</v>
      </c>
      <c r="P265" s="2">
        <f>IF(OR(N265="Negado", O265="Negado", A265="", L265=""), 0, IF(A265="Ativo", M265*0.08, 0))</f>
        <v>2640</v>
      </c>
    </row>
    <row r="266" spans="1:16">
      <c r="A266" s="5" t="s">
        <v>72</v>
      </c>
      <c r="B266" s="47" t="s">
        <v>438</v>
      </c>
      <c r="C266" s="47" t="s">
        <v>914</v>
      </c>
      <c r="D266" s="5">
        <v>61</v>
      </c>
      <c r="E266" s="8">
        <v>23928</v>
      </c>
      <c r="F266" t="s">
        <v>300</v>
      </c>
      <c r="G266" t="s">
        <v>301</v>
      </c>
      <c r="H266" s="9">
        <v>22900</v>
      </c>
      <c r="I266" s="9">
        <v>7500</v>
      </c>
      <c r="J266" s="5">
        <v>12</v>
      </c>
      <c r="K266" s="5" t="str">
        <f>IF(J266&lt;=10, "Baixo", IF(J266&lt;=25, "Médio", "Alto"))</f>
        <v>Médio</v>
      </c>
      <c r="L266" s="5" t="s">
        <v>874</v>
      </c>
      <c r="M266" s="2">
        <v>33000</v>
      </c>
      <c r="N266" s="5" t="str">
        <f>IF(A266="Inativo", "Inativo", IF(A266="", "Negado", IF(COUNTIF(C:C, C266)&gt;1, "Negado", IF(AND(K266="Alto", L266="S"), "Negado", "Aprovado"))))</f>
        <v>Negado</v>
      </c>
      <c r="O266" s="5" t="str">
        <f>IF(A266="Inativo", "Inativo", IF(A266="", "Negado", IF(COUNTIF(C:C, C266)&gt;1, "Negado", IF(AND(I266&gt;50000, L266="S"), "Negado", "Aprovado"))))</f>
        <v>Negado</v>
      </c>
      <c r="P266" s="2">
        <f>IF(OR(N266="Negado", O266="Negado", A266="", L266=""), 0, IF(A266="Ativo", M266*0.08, 0))</f>
        <v>0</v>
      </c>
    </row>
    <row r="267" spans="1:16">
      <c r="A267" s="5" t="s">
        <v>72</v>
      </c>
      <c r="B267" s="47" t="s">
        <v>714</v>
      </c>
      <c r="C267" s="47" t="s">
        <v>526</v>
      </c>
      <c r="D267" s="5">
        <v>25</v>
      </c>
      <c r="E267" s="8">
        <v>36824</v>
      </c>
      <c r="F267" t="s">
        <v>136</v>
      </c>
      <c r="G267" t="s">
        <v>137</v>
      </c>
      <c r="H267" s="9">
        <v>18300</v>
      </c>
      <c r="I267" s="9">
        <v>41000</v>
      </c>
      <c r="J267" s="5">
        <v>9</v>
      </c>
      <c r="K267" s="5" t="str">
        <f>IF(J267&lt;=10, "Baixo", IF(J267&lt;=25, "Médio", "Alto"))</f>
        <v>Baixo</v>
      </c>
      <c r="L267" s="5" t="s">
        <v>874</v>
      </c>
      <c r="M267" s="2">
        <v>32500</v>
      </c>
      <c r="N267" s="5" t="str">
        <f>IF(A267="Inativo", "Inativo", IF(A267="", "Negado", IF(COUNTIF(C:C, C267)&gt;1, "Negado", IF(AND(K267="Alto", L267="S"), "Negado", "Aprovado"))))</f>
        <v>Aprovado</v>
      </c>
      <c r="O267" s="5" t="str">
        <f>IF(A267="Inativo", "Inativo", IF(A267="", "Negado", IF(COUNTIF(C:C, C267)&gt;1, "Negado", IF(AND(I267&gt;50000, L267="S"), "Negado", "Aprovado"))))</f>
        <v>Aprovado</v>
      </c>
      <c r="P267" s="2">
        <f>IF(OR(N267="Negado", O267="Negado", A267="", L267=""), 0, IF(A267="Ativo", M267*0.08, 0))</f>
        <v>2600</v>
      </c>
    </row>
    <row r="268" spans="1:16">
      <c r="A268" s="5" t="s">
        <v>72</v>
      </c>
      <c r="B268" s="47" t="s">
        <v>96</v>
      </c>
      <c r="C268" s="47" t="s">
        <v>97</v>
      </c>
      <c r="D268" s="5">
        <v>48</v>
      </c>
      <c r="E268" s="8">
        <v>28647</v>
      </c>
      <c r="F268" t="s">
        <v>98</v>
      </c>
      <c r="G268" t="s">
        <v>103</v>
      </c>
      <c r="H268" s="9">
        <v>13200</v>
      </c>
      <c r="I268" s="9">
        <v>3500</v>
      </c>
      <c r="J268" s="5">
        <v>1</v>
      </c>
      <c r="K268" s="5" t="str">
        <f>IF(J268&lt;=10, "Baixo", IF(J268&lt;=25, "Médio", "Alto"))</f>
        <v>Baixo</v>
      </c>
      <c r="L268" s="5" t="s">
        <v>874</v>
      </c>
      <c r="M268" s="2">
        <v>32500</v>
      </c>
      <c r="N268" s="5" t="str">
        <f>IF(A268="Inativo", "Inativo", IF(A268="", "Negado", IF(COUNTIF(C:C, C268)&gt;1, "Negado", IF(AND(K268="Alto", L268="S"), "Negado", "Aprovado"))))</f>
        <v>Aprovado</v>
      </c>
      <c r="O268" s="5" t="str">
        <f>IF(A268="Inativo", "Inativo", IF(A268="", "Negado", IF(COUNTIF(C:C, C268)&gt;1, "Negado", IF(AND(I268&gt;50000, L268="S"), "Negado", "Aprovado"))))</f>
        <v>Aprovado</v>
      </c>
      <c r="P268" s="2">
        <f>IF(OR(N268="Negado", O268="Negado", A268="", L268=""), 0, IF(A268="Ativo", M268*0.08, 0))</f>
        <v>2600</v>
      </c>
    </row>
    <row r="269" spans="1:16">
      <c r="A269" s="5" t="s">
        <v>72</v>
      </c>
      <c r="B269" s="47" t="s">
        <v>101</v>
      </c>
      <c r="C269" s="47" t="s">
        <v>102</v>
      </c>
      <c r="D269" s="5">
        <v>28</v>
      </c>
      <c r="E269" s="8">
        <v>35830</v>
      </c>
      <c r="F269" t="s">
        <v>98</v>
      </c>
      <c r="G269" t="s">
        <v>103</v>
      </c>
      <c r="H269" s="9">
        <v>8600</v>
      </c>
      <c r="I269" s="9">
        <v>19000</v>
      </c>
      <c r="J269" s="5">
        <v>4</v>
      </c>
      <c r="K269" s="5" t="str">
        <f>IF(J269&lt;=10, "Baixo", IF(J269&lt;=25, "Médio", "Alto"))</f>
        <v>Baixo</v>
      </c>
      <c r="L269" s="5" t="s">
        <v>876</v>
      </c>
      <c r="M269" s="2">
        <v>32500</v>
      </c>
      <c r="N269" s="5" t="str">
        <f>IF(A269="Inativo", "Inativo", IF(A269="", "Negado", IF(COUNTIF(C:C, C269)&gt;1, "Negado", IF(AND(K269="Alto", L269="S"), "Negado", "Aprovado"))))</f>
        <v>Aprovado</v>
      </c>
      <c r="O269" s="5" t="str">
        <f>IF(A269="Inativo", "Inativo", IF(A269="", "Negado", IF(COUNTIF(C:C, C269)&gt;1, "Negado", IF(AND(I269&gt;50000, L269="S"), "Negado", "Aprovado"))))</f>
        <v>Aprovado</v>
      </c>
      <c r="P269" s="2">
        <f>IF(OR(N269="Negado", O269="Negado", A269="", L269=""), 0, IF(A269="Ativo", M269*0.08, 0))</f>
        <v>2600</v>
      </c>
    </row>
    <row r="270" spans="1:16">
      <c r="A270" s="5" t="s">
        <v>72</v>
      </c>
      <c r="B270" s="47" t="s">
        <v>690</v>
      </c>
      <c r="C270" s="47" t="s">
        <v>691</v>
      </c>
      <c r="D270" s="5">
        <v>28</v>
      </c>
      <c r="F270" t="s">
        <v>122</v>
      </c>
      <c r="G270" t="s">
        <v>117</v>
      </c>
      <c r="H270" s="9">
        <v>14500</v>
      </c>
      <c r="I270" s="9">
        <v>39500</v>
      </c>
      <c r="J270" s="5">
        <v>18</v>
      </c>
      <c r="K270" s="5" t="str">
        <f>IF(J270&lt;=10, "Baixo", IF(J270&lt;=25, "Médio", "Alto"))</f>
        <v>Médio</v>
      </c>
      <c r="L270" s="5" t="s">
        <v>874</v>
      </c>
      <c r="M270" s="2">
        <v>32000</v>
      </c>
      <c r="N270" s="5" t="str">
        <f>IF(A270="Inativo", "Inativo", IF(A270="", "Negado", IF(COUNTIF(C:C, C270)&gt;1, "Negado", IF(AND(K270="Alto", L270="S"), "Negado", "Aprovado"))))</f>
        <v>Aprovado</v>
      </c>
      <c r="O270" s="5" t="str">
        <f>IF(A270="Inativo", "Inativo", IF(A270="", "Negado", IF(COUNTIF(C:C, C270)&gt;1, "Negado", IF(AND(I270&gt;50000, L270="S"), "Negado", "Aprovado"))))</f>
        <v>Aprovado</v>
      </c>
      <c r="P270" s="2">
        <f>IF(OR(N270="Negado", O270="Negado", A270="", L270=""), 0, IF(A270="Ativo", M270*0.08, 0))</f>
        <v>2560</v>
      </c>
    </row>
    <row r="271" spans="1:16">
      <c r="A271" s="5" t="s">
        <v>72</v>
      </c>
      <c r="B271" s="47" t="s">
        <v>317</v>
      </c>
      <c r="C271" s="47" t="s">
        <v>318</v>
      </c>
      <c r="D271" s="5">
        <v>35</v>
      </c>
      <c r="F271" t="s">
        <v>143</v>
      </c>
      <c r="G271" t="s">
        <v>144</v>
      </c>
      <c r="H271" s="9">
        <v>28000</v>
      </c>
      <c r="I271" s="9">
        <v>76500</v>
      </c>
      <c r="J271" s="5">
        <v>39</v>
      </c>
      <c r="K271" s="5" t="str">
        <f>IF(J271&lt;=10, "Baixo", IF(J271&lt;=25, "Médio", "Alto"))</f>
        <v>Alto</v>
      </c>
      <c r="L271" s="5" t="s">
        <v>874</v>
      </c>
      <c r="M271" s="2">
        <v>32000</v>
      </c>
      <c r="N271" s="5" t="str">
        <f>IF(A271="Inativo", "Inativo", IF(A271="", "Negado", IF(COUNTIF(C:C, C271)&gt;1, "Negado", IF(AND(K271="Alto", L271="S"), "Negado", "Aprovado"))))</f>
        <v>Aprovado</v>
      </c>
      <c r="O271" s="5" t="str">
        <f>IF(A271="Inativo", "Inativo", IF(A271="", "Negado", IF(COUNTIF(C:C, C271)&gt;1, "Negado", IF(AND(I271&gt;50000, L271="S"), "Negado", "Aprovado"))))</f>
        <v>Aprovado</v>
      </c>
      <c r="P271" s="2">
        <f>IF(OR(N271="Negado", O271="Negado", A271="", L271=""), 0, IF(A271="Ativo", M271*0.08, 0))</f>
        <v>2560</v>
      </c>
    </row>
    <row r="272" spans="1:16">
      <c r="B272" s="47" t="s">
        <v>803</v>
      </c>
      <c r="C272" s="47" t="s">
        <v>804</v>
      </c>
      <c r="D272" s="5">
        <v>54</v>
      </c>
      <c r="E272" s="8">
        <v>26403</v>
      </c>
      <c r="F272" t="s">
        <v>212</v>
      </c>
      <c r="G272" t="s">
        <v>144</v>
      </c>
      <c r="H272" s="9">
        <v>20800</v>
      </c>
      <c r="I272" s="9">
        <v>16000</v>
      </c>
      <c r="J272" s="5">
        <v>32</v>
      </c>
      <c r="K272" s="5" t="str">
        <f>IF(J272&lt;=10, "Baixo", IF(J272&lt;=25, "Médio", "Alto"))</f>
        <v>Alto</v>
      </c>
      <c r="L272" s="5" t="s">
        <v>874</v>
      </c>
      <c r="M272" s="2">
        <v>31500</v>
      </c>
      <c r="N272" s="5" t="str">
        <f>IF(A272="Inativo", "Inativo", IF(A272="", "Negado", IF(COUNTIF(C:C, C272)&gt;1, "Negado", IF(AND(K272="Alto", L272="S"), "Negado", "Aprovado"))))</f>
        <v>Negado</v>
      </c>
      <c r="O272" s="5" t="str">
        <f>IF(A272="Inativo", "Inativo", IF(A272="", "Negado", IF(COUNTIF(C:C, C272)&gt;1, "Negado", IF(AND(I272&gt;50000, L272="S"), "Negado", "Aprovado"))))</f>
        <v>Negado</v>
      </c>
      <c r="P272" s="2">
        <f>IF(OR(N272="Negado", O272="Negado", A272="", L272=""), 0, IF(A272="Ativo", M272*0.08, 0))</f>
        <v>0</v>
      </c>
    </row>
    <row r="273" spans="1:16">
      <c r="A273" s="5" t="s">
        <v>72</v>
      </c>
      <c r="B273" s="47" t="s">
        <v>442</v>
      </c>
      <c r="C273" s="47" t="s">
        <v>443</v>
      </c>
      <c r="D273" s="5">
        <v>43</v>
      </c>
      <c r="E273" s="8">
        <v>30309</v>
      </c>
      <c r="F273" t="s">
        <v>240</v>
      </c>
      <c r="G273" t="s">
        <v>453</v>
      </c>
      <c r="H273" s="9">
        <v>18400</v>
      </c>
      <c r="I273" s="9">
        <v>62000</v>
      </c>
      <c r="J273" s="5">
        <v>33</v>
      </c>
      <c r="K273" s="5" t="str">
        <f>IF(J273&lt;=10, "Baixo", IF(J273&lt;=25, "Médio", "Alto"))</f>
        <v>Alto</v>
      </c>
      <c r="L273" s="5" t="s">
        <v>874</v>
      </c>
      <c r="M273" s="2">
        <v>31000</v>
      </c>
      <c r="N273" s="5" t="str">
        <f>IF(A273="Inativo", "Inativo", IF(A273="", "Negado", IF(COUNTIF(C:C, C273)&gt;1, "Negado", IF(AND(K273="Alto", L273="S"), "Negado", "Aprovado"))))</f>
        <v>Aprovado</v>
      </c>
      <c r="O273" s="5" t="str">
        <f>IF(A273="Inativo", "Inativo", IF(A273="", "Negado", IF(COUNTIF(C:C, C273)&gt;1, "Negado", IF(AND(I273&gt;50000, L273="S"), "Negado", "Aprovado"))))</f>
        <v>Aprovado</v>
      </c>
      <c r="P273" s="2">
        <f>IF(OR(N273="Negado", O273="Negado", A273="", L273=""), 0, IF(A273="Ativo", M273*0.08, 0))</f>
        <v>2480</v>
      </c>
    </row>
    <row r="274" spans="1:16">
      <c r="A274" s="5" t="s">
        <v>72</v>
      </c>
      <c r="B274" s="47" t="s">
        <v>420</v>
      </c>
      <c r="C274" s="47" t="s">
        <v>421</v>
      </c>
      <c r="D274" s="5">
        <v>45</v>
      </c>
      <c r="E274" s="8">
        <v>29598</v>
      </c>
      <c r="F274" t="s">
        <v>98</v>
      </c>
      <c r="G274" t="s">
        <v>103</v>
      </c>
      <c r="H274" s="9">
        <v>22800</v>
      </c>
      <c r="J274" s="5">
        <v>10</v>
      </c>
      <c r="K274" s="5" t="str">
        <f>IF(J274&lt;=10, "Baixo", IF(J274&lt;=25, "Médio", "Alto"))</f>
        <v>Baixo</v>
      </c>
      <c r="L274" s="5" t="s">
        <v>874</v>
      </c>
      <c r="M274" s="2">
        <v>31000</v>
      </c>
      <c r="N274" s="5" t="str">
        <f>IF(A274="Inativo", "Inativo", IF(A274="", "Negado", IF(COUNTIF(C:C, C274)&gt;1, "Negado", IF(AND(K274="Alto", L274="S"), "Negado", "Aprovado"))))</f>
        <v>Aprovado</v>
      </c>
      <c r="O274" s="5" t="str">
        <f>IF(A274="Inativo", "Inativo", IF(A274="", "Negado", IF(COUNTIF(C:C, C274)&gt;1, "Negado", IF(AND(I274&gt;50000, L274="S"), "Negado", "Aprovado"))))</f>
        <v>Aprovado</v>
      </c>
      <c r="P274" s="2">
        <f>IF(OR(N274="Negado", O274="Negado", A274="", L274=""), 0, IF(A274="Ativo", M274*0.08, 0))</f>
        <v>2480</v>
      </c>
    </row>
    <row r="275" spans="1:16">
      <c r="A275" s="5" t="s">
        <v>72</v>
      </c>
      <c r="B275" s="47" t="s">
        <v>866</v>
      </c>
      <c r="C275" s="47" t="s">
        <v>867</v>
      </c>
      <c r="D275" s="5">
        <v>35</v>
      </c>
      <c r="E275" s="8">
        <v>33306</v>
      </c>
      <c r="F275" t="s">
        <v>79</v>
      </c>
      <c r="G275" t="s">
        <v>301</v>
      </c>
      <c r="H275" s="9">
        <v>9700</v>
      </c>
      <c r="I275" s="9">
        <v>0</v>
      </c>
      <c r="J275" s="5">
        <v>20</v>
      </c>
      <c r="K275" s="5" t="str">
        <f>IF(J275&lt;=10, "Baixo", IF(J275&lt;=25, "Médio", "Alto"))</f>
        <v>Médio</v>
      </c>
      <c r="L275" s="5" t="s">
        <v>874</v>
      </c>
      <c r="M275" s="2">
        <v>31000</v>
      </c>
      <c r="N275" s="5" t="str">
        <f>IF(A275="Inativo", "Inativo", IF(A275="", "Negado", IF(COUNTIF(C:C, C275)&gt;1, "Negado", IF(AND(K275="Alto", L275="S"), "Negado", "Aprovado"))))</f>
        <v>Aprovado</v>
      </c>
      <c r="O275" s="5" t="str">
        <f>IF(A275="Inativo", "Inativo", IF(A275="", "Negado", IF(COUNTIF(C:C, C275)&gt;1, "Negado", IF(AND(I275&gt;50000, L275="S"), "Negado", "Aprovado"))))</f>
        <v>Aprovado</v>
      </c>
      <c r="P275" s="2">
        <f>IF(OR(N275="Negado", O275="Negado", A275="", L275=""), 0, IF(A275="Ativo", M275*0.08, 0))</f>
        <v>2480</v>
      </c>
    </row>
    <row r="276" spans="1:16">
      <c r="A276" s="5" t="s">
        <v>77</v>
      </c>
      <c r="B276" s="47" t="s">
        <v>418</v>
      </c>
      <c r="C276" s="47" t="s">
        <v>974</v>
      </c>
      <c r="D276" s="5">
        <v>54</v>
      </c>
      <c r="E276" s="8">
        <v>26453</v>
      </c>
      <c r="F276" t="s">
        <v>240</v>
      </c>
      <c r="G276" t="s">
        <v>453</v>
      </c>
      <c r="H276" s="9">
        <v>3900</v>
      </c>
      <c r="I276" s="9">
        <v>80000</v>
      </c>
      <c r="J276" s="5">
        <v>41</v>
      </c>
      <c r="K276" s="5" t="str">
        <f>IF(J276&lt;=10, "Baixo", IF(J276&lt;=25, "Médio", "Alto"))</f>
        <v>Alto</v>
      </c>
      <c r="L276" s="5" t="s">
        <v>874</v>
      </c>
      <c r="M276" s="2">
        <v>30000</v>
      </c>
      <c r="N276" s="5" t="str">
        <f>IF(A276="Inativo", "Inativo", IF(A276="", "Negado", IF(COUNTIF(C:C, C276)&gt;1, "Negado", IF(AND(K276="Alto", L276="S"), "Negado", "Aprovado"))))</f>
        <v>Inativo</v>
      </c>
      <c r="O276" s="5" t="str">
        <f>IF(A276="Inativo", "Inativo", IF(A276="", "Negado", IF(COUNTIF(C:C, C276)&gt;1, "Negado", IF(AND(I276&gt;50000, L276="S"), "Negado", "Aprovado"))))</f>
        <v>Inativo</v>
      </c>
      <c r="P276" s="2">
        <f>IF(OR(N276="Negado", O276="Negado", A276="", L276=""), 0, IF(A276="Ativo", M276*0.08, 0))</f>
        <v>0</v>
      </c>
    </row>
    <row r="277" spans="1:16">
      <c r="A277" s="5" t="s">
        <v>72</v>
      </c>
      <c r="B277" s="47" t="s">
        <v>712</v>
      </c>
      <c r="C277" s="47" t="s">
        <v>713</v>
      </c>
      <c r="D277" s="5">
        <v>19</v>
      </c>
      <c r="E277" s="8">
        <v>39016</v>
      </c>
      <c r="F277" t="s">
        <v>107</v>
      </c>
      <c r="G277" t="s">
        <v>108</v>
      </c>
      <c r="H277" s="9">
        <v>14900</v>
      </c>
      <c r="I277" s="9">
        <v>17000</v>
      </c>
      <c r="J277" s="5">
        <v>20</v>
      </c>
      <c r="K277" s="5" t="str">
        <f>IF(J277&lt;=10, "Baixo", IF(J277&lt;=25, "Médio", "Alto"))</f>
        <v>Médio</v>
      </c>
      <c r="L277" s="5" t="s">
        <v>874</v>
      </c>
      <c r="M277" s="2">
        <v>29500</v>
      </c>
      <c r="N277" s="5" t="str">
        <f>IF(A277="Inativo", "Inativo", IF(A277="", "Negado", IF(COUNTIF(C:C, C277)&gt;1, "Negado", IF(AND(K277="Alto", L277="S"), "Negado", "Aprovado"))))</f>
        <v>Aprovado</v>
      </c>
      <c r="O277" s="5" t="str">
        <f>IF(A277="Inativo", "Inativo", IF(A277="", "Negado", IF(COUNTIF(C:C, C277)&gt;1, "Negado", IF(AND(I277&gt;50000, L277="S"), "Negado", "Aprovado"))))</f>
        <v>Aprovado</v>
      </c>
      <c r="P277" s="2">
        <f>IF(OR(N277="Negado", O277="Negado", A277="", L277=""), 0, IF(A277="Ativo", M277*0.08, 0))</f>
        <v>2360</v>
      </c>
    </row>
    <row r="278" spans="1:16">
      <c r="A278" s="5" t="s">
        <v>72</v>
      </c>
      <c r="B278" s="47" t="s">
        <v>868</v>
      </c>
      <c r="C278" s="47" t="s">
        <v>975</v>
      </c>
      <c r="D278" s="5">
        <v>72</v>
      </c>
      <c r="E278" s="8">
        <v>19852</v>
      </c>
      <c r="F278" t="s">
        <v>300</v>
      </c>
      <c r="G278" t="s">
        <v>301</v>
      </c>
      <c r="H278" s="9">
        <v>27100</v>
      </c>
      <c r="I278" s="9">
        <v>71000</v>
      </c>
      <c r="J278" s="5">
        <v>32</v>
      </c>
      <c r="K278" s="5" t="str">
        <f>IF(J278&lt;=10, "Baixo", IF(J278&lt;=25, "Médio", "Alto"))</f>
        <v>Alto</v>
      </c>
      <c r="L278" s="5" t="s">
        <v>874</v>
      </c>
      <c r="M278" s="2">
        <v>29500</v>
      </c>
      <c r="N278" s="5" t="str">
        <f>IF(A278="Inativo", "Inativo", IF(A278="", "Negado", IF(COUNTIF(C:C, C278)&gt;1, "Negado", IF(AND(K278="Alto", L278="S"), "Negado", "Aprovado"))))</f>
        <v>Aprovado</v>
      </c>
      <c r="O278" s="5" t="str">
        <f>IF(A278="Inativo", "Inativo", IF(A278="", "Negado", IF(COUNTIF(C:C, C278)&gt;1, "Negado", IF(AND(I278&gt;50000, L278="S"), "Negado", "Aprovado"))))</f>
        <v>Aprovado</v>
      </c>
      <c r="P278" s="2">
        <f>IF(OR(N278="Negado", O278="Negado", A278="", L278=""), 0, IF(A278="Ativo", M278*0.08, 0))</f>
        <v>2360</v>
      </c>
    </row>
    <row r="279" spans="1:16">
      <c r="A279" s="5" t="s">
        <v>72</v>
      </c>
      <c r="B279" s="47" t="s">
        <v>142</v>
      </c>
      <c r="C279" s="47" t="s">
        <v>913</v>
      </c>
      <c r="D279" s="5">
        <v>25</v>
      </c>
      <c r="E279" s="8">
        <v>36831</v>
      </c>
      <c r="F279" t="s">
        <v>143</v>
      </c>
      <c r="G279" t="s">
        <v>144</v>
      </c>
      <c r="H279" s="9">
        <v>9400</v>
      </c>
      <c r="I279" s="9">
        <v>51500</v>
      </c>
      <c r="J279" s="5">
        <v>14</v>
      </c>
      <c r="K279" s="5" t="str">
        <f>IF(J279&lt;=10, "Baixo", IF(J279&lt;=25, "Médio", "Alto"))</f>
        <v>Médio</v>
      </c>
      <c r="L279" s="5" t="s">
        <v>874</v>
      </c>
      <c r="M279" s="2">
        <v>29500</v>
      </c>
      <c r="N279" s="5" t="str">
        <f>IF(A279="Inativo", "Inativo", IF(A279="", "Negado", IF(COUNTIF(C:C, C279)&gt;1, "Negado", IF(AND(K279="Alto", L279="S"), "Negado", "Aprovado"))))</f>
        <v>Negado</v>
      </c>
      <c r="O279" s="5" t="str">
        <f>IF(A279="Inativo", "Inativo", IF(A279="", "Negado", IF(COUNTIF(C:C, C279)&gt;1, "Negado", IF(AND(I279&gt;50000, L279="S"), "Negado", "Aprovado"))))</f>
        <v>Negado</v>
      </c>
      <c r="P279" s="2">
        <f>IF(OR(N279="Negado", O279="Negado", A279="", L279=""), 0, IF(A279="Ativo", M279*0.08, 0))</f>
        <v>0</v>
      </c>
    </row>
    <row r="280" spans="1:16">
      <c r="A280" s="5" t="s">
        <v>77</v>
      </c>
      <c r="B280" s="47" t="s">
        <v>709</v>
      </c>
      <c r="C280" s="47" t="s">
        <v>710</v>
      </c>
      <c r="D280" s="5">
        <v>74</v>
      </c>
      <c r="E280" s="8">
        <v>19047</v>
      </c>
      <c r="F280" t="s">
        <v>98</v>
      </c>
      <c r="G280" t="s">
        <v>103</v>
      </c>
      <c r="H280" s="9">
        <v>24000</v>
      </c>
      <c r="I280" s="9">
        <v>35000</v>
      </c>
      <c r="J280" s="5">
        <v>6</v>
      </c>
      <c r="K280" s="5" t="str">
        <f>IF(J280&lt;=10, "Baixo", IF(J280&lt;=25, "Médio", "Alto"))</f>
        <v>Baixo</v>
      </c>
      <c r="L280" s="5" t="s">
        <v>874</v>
      </c>
      <c r="M280" s="2">
        <v>29500</v>
      </c>
      <c r="N280" s="5" t="str">
        <f>IF(A280="Inativo", "Inativo", IF(A280="", "Negado", IF(COUNTIF(C:C, C280)&gt;1, "Negado", IF(AND(K280="Alto", L280="S"), "Negado", "Aprovado"))))</f>
        <v>Inativo</v>
      </c>
      <c r="O280" s="5" t="str">
        <f>IF(A280="Inativo", "Inativo", IF(A280="", "Negado", IF(COUNTIF(C:C, C280)&gt;1, "Negado", IF(AND(I280&gt;50000, L280="S"), "Negado", "Aprovado"))))</f>
        <v>Inativo</v>
      </c>
      <c r="P280" s="2">
        <f>IF(OR(N280="Negado", O280="Negado", A280="", L280=""), 0, IF(A280="Ativo", M280*0.08, 0))</f>
        <v>0</v>
      </c>
    </row>
    <row r="281" spans="1:16">
      <c r="A281" s="5" t="s">
        <v>72</v>
      </c>
      <c r="B281" s="47" t="s">
        <v>289</v>
      </c>
      <c r="C281" s="47" t="s">
        <v>290</v>
      </c>
      <c r="D281" s="5">
        <v>27</v>
      </c>
      <c r="E281" s="8">
        <v>36308</v>
      </c>
      <c r="F281" t="s">
        <v>133</v>
      </c>
      <c r="G281" t="s">
        <v>134</v>
      </c>
      <c r="H281" s="9">
        <v>5300</v>
      </c>
      <c r="I281" s="9">
        <v>22000</v>
      </c>
      <c r="J281" s="5">
        <v>11</v>
      </c>
      <c r="K281" s="5" t="str">
        <f>IF(J281&lt;=10, "Baixo", IF(J281&lt;=25, "Médio", "Alto"))</f>
        <v>Médio</v>
      </c>
      <c r="L281" s="5" t="s">
        <v>874</v>
      </c>
      <c r="M281" s="2">
        <v>28500</v>
      </c>
      <c r="N281" s="5" t="str">
        <f>IF(A281="Inativo", "Inativo", IF(A281="", "Negado", IF(COUNTIF(C:C, C281)&gt;1, "Negado", IF(AND(K281="Alto", L281="S"), "Negado", "Aprovado"))))</f>
        <v>Negado</v>
      </c>
      <c r="O281" s="5" t="str">
        <f>IF(A281="Inativo", "Inativo", IF(A281="", "Negado", IF(COUNTIF(C:C, C281)&gt;1, "Negado", IF(AND(I281&gt;50000, L281="S"), "Negado", "Aprovado"))))</f>
        <v>Negado</v>
      </c>
      <c r="P281" s="2">
        <f>IF(OR(N281="Negado", O281="Negado", A281="", L281=""), 0, IF(A281="Ativo", M281*0.08, 0))</f>
        <v>0</v>
      </c>
    </row>
    <row r="282" spans="1:16">
      <c r="A282" s="5" t="s">
        <v>72</v>
      </c>
      <c r="B282" s="47" t="s">
        <v>770</v>
      </c>
      <c r="C282" s="47" t="s">
        <v>976</v>
      </c>
      <c r="D282" s="5">
        <v>27</v>
      </c>
      <c r="E282" s="8">
        <v>36152</v>
      </c>
      <c r="F282" t="s">
        <v>168</v>
      </c>
      <c r="G282" t="s">
        <v>144</v>
      </c>
      <c r="H282" s="9">
        <v>30000</v>
      </c>
      <c r="I282" s="9">
        <v>27000</v>
      </c>
      <c r="J282" s="5">
        <v>28</v>
      </c>
      <c r="K282" s="5" t="str">
        <f>IF(J282&lt;=10, "Baixo", IF(J282&lt;=25, "Médio", "Alto"))</f>
        <v>Alto</v>
      </c>
      <c r="L282" s="5" t="s">
        <v>874</v>
      </c>
      <c r="M282" s="2">
        <v>28500</v>
      </c>
      <c r="N282" s="5" t="str">
        <f>IF(A282="Inativo", "Inativo", IF(A282="", "Negado", IF(COUNTIF(C:C, C282)&gt;1, "Negado", IF(AND(K282="Alto", L282="S"), "Negado", "Aprovado"))))</f>
        <v>Aprovado</v>
      </c>
      <c r="O282" s="5" t="str">
        <f>IF(A282="Inativo", "Inativo", IF(A282="", "Negado", IF(COUNTIF(C:C, C282)&gt;1, "Negado", IF(AND(I282&gt;50000, L282="S"), "Negado", "Aprovado"))))</f>
        <v>Aprovado</v>
      </c>
      <c r="P282" s="2">
        <f>IF(OR(N282="Negado", O282="Negado", A282="", L282=""), 0, IF(A282="Ativo", M282*0.08, 0))</f>
        <v>2280</v>
      </c>
    </row>
    <row r="283" spans="1:16">
      <c r="A283" s="5" t="s">
        <v>77</v>
      </c>
      <c r="B283" s="47" t="s">
        <v>792</v>
      </c>
      <c r="C283" s="47" t="s">
        <v>977</v>
      </c>
      <c r="D283" s="5">
        <v>38</v>
      </c>
      <c r="E283" s="8">
        <v>32351</v>
      </c>
      <c r="F283" t="s">
        <v>84</v>
      </c>
      <c r="G283" t="s">
        <v>411</v>
      </c>
      <c r="H283" s="9">
        <v>23600</v>
      </c>
      <c r="I283" s="9">
        <v>0</v>
      </c>
      <c r="K283" s="5" t="str">
        <f>IF(J283&lt;=10, "Baixo", IF(J283&lt;=25, "Médio", "Alto"))</f>
        <v>Baixo</v>
      </c>
      <c r="L283" s="5" t="s">
        <v>874</v>
      </c>
      <c r="M283" s="2">
        <v>28500</v>
      </c>
      <c r="N283" s="5" t="str">
        <f>IF(A283="Inativo", "Inativo", IF(A283="", "Negado", IF(COUNTIF(C:C, C283)&gt;1, "Negado", IF(AND(K283="Alto", L283="S"), "Negado", "Aprovado"))))</f>
        <v>Inativo</v>
      </c>
      <c r="O283" s="5" t="str">
        <f>IF(A283="Inativo", "Inativo", IF(A283="", "Negado", IF(COUNTIF(C:C, C283)&gt;1, "Negado", IF(AND(I283&gt;50000, L283="S"), "Negado", "Aprovado"))))</f>
        <v>Inativo</v>
      </c>
      <c r="P283" s="2">
        <f>IF(OR(N283="Negado", O283="Negado", A283="", L283=""), 0, IF(A283="Ativo", M283*0.08, 0))</f>
        <v>0</v>
      </c>
    </row>
    <row r="284" spans="1:16">
      <c r="A284" s="5" t="s">
        <v>72</v>
      </c>
      <c r="B284" s="47" t="s">
        <v>308</v>
      </c>
      <c r="C284" s="47" t="s">
        <v>342</v>
      </c>
      <c r="D284" s="5">
        <v>65</v>
      </c>
      <c r="E284" s="8">
        <v>22436</v>
      </c>
      <c r="F284" t="s">
        <v>75</v>
      </c>
      <c r="G284" t="s">
        <v>76</v>
      </c>
      <c r="H284" s="9">
        <v>12700</v>
      </c>
      <c r="I284" s="9">
        <v>60500</v>
      </c>
      <c r="J284" s="5">
        <v>36</v>
      </c>
      <c r="K284" s="5" t="str">
        <f>IF(J284&lt;=10, "Baixo", IF(J284&lt;=25, "Médio", "Alto"))</f>
        <v>Alto</v>
      </c>
      <c r="L284" s="5" t="s">
        <v>874</v>
      </c>
      <c r="M284" s="2">
        <v>28000</v>
      </c>
      <c r="N284" s="5" t="str">
        <f>IF(A284="Inativo", "Inativo", IF(A284="", "Negado", IF(COUNTIF(C:C, C284)&gt;1, "Negado", IF(AND(K284="Alto", L284="S"), "Negado", "Aprovado"))))</f>
        <v>Aprovado</v>
      </c>
      <c r="O284" s="5" t="str">
        <f>IF(A284="Inativo", "Inativo", IF(A284="", "Negado", IF(COUNTIF(C:C, C284)&gt;1, "Negado", IF(AND(I284&gt;50000, L284="S"), "Negado", "Aprovado"))))</f>
        <v>Aprovado</v>
      </c>
      <c r="P284" s="2">
        <f>IF(OR(N284="Negado", O284="Negado", A284="", L284=""), 0, IF(A284="Ativo", M284*0.08, 0))</f>
        <v>2240</v>
      </c>
    </row>
    <row r="285" spans="1:16">
      <c r="A285" s="5" t="s">
        <v>77</v>
      </c>
      <c r="B285" s="47" t="s">
        <v>464</v>
      </c>
      <c r="C285" s="47" t="s">
        <v>465</v>
      </c>
      <c r="D285" s="5">
        <v>33</v>
      </c>
      <c r="E285" s="8">
        <v>34154</v>
      </c>
      <c r="F285" t="s">
        <v>136</v>
      </c>
      <c r="G285" t="s">
        <v>137</v>
      </c>
      <c r="H285" s="9">
        <v>2400</v>
      </c>
      <c r="I285" s="9">
        <v>78000</v>
      </c>
      <c r="J285" s="5">
        <v>6</v>
      </c>
      <c r="K285" s="5" t="str">
        <f>IF(J285&lt;=10, "Baixo", IF(J285&lt;=25, "Médio", "Alto"))</f>
        <v>Baixo</v>
      </c>
      <c r="L285" s="5" t="s">
        <v>874</v>
      </c>
      <c r="M285" s="2">
        <v>28000</v>
      </c>
      <c r="N285" s="5" t="str">
        <f>IF(A285="Inativo", "Inativo", IF(A285="", "Negado", IF(COUNTIF(C:C, C285)&gt;1, "Negado", IF(AND(K285="Alto", L285="S"), "Negado", "Aprovado"))))</f>
        <v>Inativo</v>
      </c>
      <c r="O285" s="5" t="str">
        <f>IF(A285="Inativo", "Inativo", IF(A285="", "Negado", IF(COUNTIF(C:C, C285)&gt;1, "Negado", IF(AND(I285&gt;50000, L285="S"), "Negado", "Aprovado"))))</f>
        <v>Inativo</v>
      </c>
      <c r="P285" s="2">
        <f>IF(OR(N285="Negado", O285="Negado", A285="", L285=""), 0, IF(A285="Ativo", M285*0.08, 0))</f>
        <v>0</v>
      </c>
    </row>
    <row r="286" spans="1:16">
      <c r="A286" s="5" t="s">
        <v>72</v>
      </c>
      <c r="B286" s="47" t="s">
        <v>760</v>
      </c>
      <c r="C286" s="47" t="s">
        <v>761</v>
      </c>
      <c r="D286" s="5">
        <v>54</v>
      </c>
      <c r="E286" s="8">
        <v>26230</v>
      </c>
      <c r="F286" t="s">
        <v>157</v>
      </c>
      <c r="G286" t="s">
        <v>137</v>
      </c>
      <c r="H286" s="9">
        <v>18700</v>
      </c>
      <c r="I286" s="9">
        <v>46000</v>
      </c>
      <c r="J286" s="5">
        <v>4</v>
      </c>
      <c r="K286" s="5" t="str">
        <f>IF(J286&lt;=10, "Baixo", IF(J286&lt;=25, "Médio", "Alto"))</f>
        <v>Baixo</v>
      </c>
      <c r="L286" s="5" t="s">
        <v>876</v>
      </c>
      <c r="M286" s="2">
        <v>27500</v>
      </c>
      <c r="N286" s="5" t="str">
        <f>IF(A286="Inativo", "Inativo", IF(A286="", "Negado", IF(COUNTIF(C:C, C286)&gt;1, "Negado", IF(AND(K286="Alto", L286="S"), "Negado", "Aprovado"))))</f>
        <v>Aprovado</v>
      </c>
      <c r="O286" s="5" t="str">
        <f>IF(A286="Inativo", "Inativo", IF(A286="", "Negado", IF(COUNTIF(C:C, C286)&gt;1, "Negado", IF(AND(I286&gt;50000, L286="S"), "Negado", "Aprovado"))))</f>
        <v>Aprovado</v>
      </c>
      <c r="P286" s="2">
        <f>IF(OR(N286="Negado", O286="Negado", A286="", L286=""), 0, IF(A286="Ativo", M286*0.08, 0))</f>
        <v>2200</v>
      </c>
    </row>
    <row r="287" spans="1:16">
      <c r="A287" s="5" t="s">
        <v>72</v>
      </c>
      <c r="B287" s="47" t="s">
        <v>728</v>
      </c>
      <c r="C287" s="47" t="s">
        <v>729</v>
      </c>
      <c r="D287" s="5">
        <v>50</v>
      </c>
      <c r="E287" s="8">
        <v>27886</v>
      </c>
      <c r="F287" t="s">
        <v>179</v>
      </c>
      <c r="G287" t="s">
        <v>179</v>
      </c>
      <c r="H287" s="9">
        <v>16100</v>
      </c>
      <c r="I287" s="9">
        <v>8000</v>
      </c>
      <c r="J287" s="5">
        <v>30</v>
      </c>
      <c r="K287" s="5" t="str">
        <f>IF(J287&lt;=10, "Baixo", IF(J287&lt;=25, "Médio", "Alto"))</f>
        <v>Alto</v>
      </c>
      <c r="L287" s="5" t="s">
        <v>876</v>
      </c>
      <c r="M287" s="2">
        <v>27000</v>
      </c>
      <c r="N287" s="5" t="str">
        <f>IF(A287="Inativo", "Inativo", IF(A287="", "Negado", IF(COUNTIF(C:C, C287)&gt;1, "Negado", IF(AND(K287="Alto", L287="S"), "Negado", "Aprovado"))))</f>
        <v>Negado</v>
      </c>
      <c r="O287" s="5" t="str">
        <f>IF(A287="Inativo", "Inativo", IF(A287="", "Negado", IF(COUNTIF(C:C, C287)&gt;1, "Negado", IF(AND(I287&gt;50000, L287="S"), "Negado", "Aprovado"))))</f>
        <v>Aprovado</v>
      </c>
      <c r="P287" s="2">
        <f>IF(OR(N287="Negado", O287="Negado", A287="", L287=""), 0, IF(A287="Ativo", M287*0.08, 0))</f>
        <v>0</v>
      </c>
    </row>
    <row r="288" spans="1:16">
      <c r="A288" s="5" t="s">
        <v>77</v>
      </c>
      <c r="B288" s="47" t="s">
        <v>683</v>
      </c>
      <c r="C288" s="47" t="s">
        <v>832</v>
      </c>
      <c r="D288" s="5">
        <v>68</v>
      </c>
      <c r="E288" s="8">
        <v>21190</v>
      </c>
      <c r="F288" t="s">
        <v>136</v>
      </c>
      <c r="G288" t="s">
        <v>137</v>
      </c>
      <c r="H288" s="9">
        <v>2800</v>
      </c>
      <c r="I288" s="9">
        <v>76000</v>
      </c>
      <c r="J288" s="5">
        <v>44</v>
      </c>
      <c r="K288" s="5" t="str">
        <f>IF(J288&lt;=10, "Baixo", IF(J288&lt;=25, "Médio", "Alto"))</f>
        <v>Alto</v>
      </c>
      <c r="L288" s="5" t="s">
        <v>874</v>
      </c>
      <c r="M288" s="2">
        <v>27000</v>
      </c>
      <c r="N288" s="5" t="str">
        <f>IF(A288="Inativo", "Inativo", IF(A288="", "Negado", IF(COUNTIF(C:C, C288)&gt;1, "Negado", IF(AND(K288="Alto", L288="S"), "Negado", "Aprovado"))))</f>
        <v>Inativo</v>
      </c>
      <c r="O288" s="5" t="str">
        <f>IF(A288="Inativo", "Inativo", IF(A288="", "Negado", IF(COUNTIF(C:C, C288)&gt;1, "Negado", IF(AND(I288&gt;50000, L288="S"), "Negado", "Aprovado"))))</f>
        <v>Inativo</v>
      </c>
      <c r="P288" s="2">
        <f>IF(OR(N288="Negado", O288="Negado", A288="", L288=""), 0, IF(A288="Ativo", M288*0.08, 0))</f>
        <v>0</v>
      </c>
    </row>
    <row r="289" spans="1:16">
      <c r="A289" s="5" t="s">
        <v>77</v>
      </c>
      <c r="B289" s="47" t="s">
        <v>687</v>
      </c>
      <c r="C289" s="47" t="s">
        <v>688</v>
      </c>
      <c r="D289" s="5">
        <v>55</v>
      </c>
      <c r="E289" s="8">
        <v>26142</v>
      </c>
      <c r="F289" t="s">
        <v>75</v>
      </c>
      <c r="G289" t="s">
        <v>76</v>
      </c>
      <c r="H289" s="9">
        <v>29700</v>
      </c>
      <c r="I289" s="9">
        <v>78000</v>
      </c>
      <c r="J289" s="5">
        <v>14</v>
      </c>
      <c r="K289" s="5" t="str">
        <f>IF(J289&lt;=10, "Baixo", IF(J289&lt;=25, "Médio", "Alto"))</f>
        <v>Médio</v>
      </c>
      <c r="L289" s="5" t="s">
        <v>876</v>
      </c>
      <c r="M289" s="2">
        <v>27000</v>
      </c>
      <c r="N289" s="5" t="str">
        <f>IF(A289="Inativo", "Inativo", IF(A289="", "Negado", IF(COUNTIF(C:C, C289)&gt;1, "Negado", IF(AND(K289="Alto", L289="S"), "Negado", "Aprovado"))))</f>
        <v>Inativo</v>
      </c>
      <c r="O289" s="5" t="str">
        <f>IF(A289="Inativo", "Inativo", IF(A289="", "Negado", IF(COUNTIF(C:C, C289)&gt;1, "Negado", IF(AND(I289&gt;50000, L289="S"), "Negado", "Aprovado"))))</f>
        <v>Inativo</v>
      </c>
      <c r="P289" s="2">
        <f>IF(OR(N289="Negado", O289="Negado", A289="", L289=""), 0, IF(A289="Ativo", M289*0.08, 0))</f>
        <v>0</v>
      </c>
    </row>
    <row r="290" spans="1:16">
      <c r="A290" s="5" t="s">
        <v>77</v>
      </c>
      <c r="B290" s="47" t="s">
        <v>477</v>
      </c>
      <c r="C290" s="47" t="s">
        <v>478</v>
      </c>
      <c r="D290" s="5">
        <v>31</v>
      </c>
      <c r="E290" s="8">
        <v>34738</v>
      </c>
      <c r="F290" t="s">
        <v>143</v>
      </c>
      <c r="G290" t="s">
        <v>144</v>
      </c>
      <c r="H290" s="9">
        <v>22600</v>
      </c>
      <c r="I290" s="9">
        <v>58000</v>
      </c>
      <c r="J290" s="5">
        <v>5</v>
      </c>
      <c r="K290" s="5" t="str">
        <f>IF(J290&lt;=10, "Baixo", IF(J290&lt;=25, "Médio", "Alto"))</f>
        <v>Baixo</v>
      </c>
      <c r="L290" s="5" t="s">
        <v>874</v>
      </c>
      <c r="M290" s="2">
        <v>26500</v>
      </c>
      <c r="N290" s="5" t="str">
        <f>IF(A290="Inativo", "Inativo", IF(A290="", "Negado", IF(COUNTIF(C:C, C290)&gt;1, "Negado", IF(AND(K290="Alto", L290="S"), "Negado", "Aprovado"))))</f>
        <v>Inativo</v>
      </c>
      <c r="O290" s="5" t="str">
        <f>IF(A290="Inativo", "Inativo", IF(A290="", "Negado", IF(COUNTIF(C:C, C290)&gt;1, "Negado", IF(AND(I290&gt;50000, L290="S"), "Negado", "Aprovado"))))</f>
        <v>Inativo</v>
      </c>
      <c r="P290" s="2">
        <f>IF(OR(N290="Negado", O290="Negado", A290="", L290=""), 0, IF(A290="Ativo", M290*0.08, 0))</f>
        <v>0</v>
      </c>
    </row>
    <row r="291" spans="1:16">
      <c r="A291" s="5" t="s">
        <v>72</v>
      </c>
      <c r="B291" s="47" t="s">
        <v>732</v>
      </c>
      <c r="C291" s="47" t="s">
        <v>853</v>
      </c>
      <c r="D291" s="5">
        <v>33</v>
      </c>
      <c r="E291" s="8">
        <v>33892</v>
      </c>
      <c r="F291" t="s">
        <v>122</v>
      </c>
      <c r="G291" t="s">
        <v>117</v>
      </c>
      <c r="H291" s="9">
        <v>29200</v>
      </c>
      <c r="I291" s="9">
        <v>3000</v>
      </c>
      <c r="J291" s="5">
        <v>40</v>
      </c>
      <c r="K291" s="5" t="str">
        <f>IF(J291&lt;=10, "Baixo", IF(J291&lt;=25, "Médio", "Alto"))</f>
        <v>Alto</v>
      </c>
      <c r="L291" s="5" t="s">
        <v>876</v>
      </c>
      <c r="M291" s="2">
        <v>26000</v>
      </c>
      <c r="N291" s="5" t="str">
        <f>IF(A291="Inativo", "Inativo", IF(A291="", "Negado", IF(COUNTIF(C:C, C291)&gt;1, "Negado", IF(AND(K291="Alto", L291="S"), "Negado", "Aprovado"))))</f>
        <v>Negado</v>
      </c>
      <c r="O291" s="5" t="str">
        <f>IF(A291="Inativo", "Inativo", IF(A291="", "Negado", IF(COUNTIF(C:C, C291)&gt;1, "Negado", IF(AND(I291&gt;50000, L291="S"), "Negado", "Aprovado"))))</f>
        <v>Aprovado</v>
      </c>
      <c r="P291" s="2">
        <f>IF(OR(N291="Negado", O291="Negado", A291="", L291=""), 0, IF(A291="Ativo", M291*0.08, 0))</f>
        <v>0</v>
      </c>
    </row>
    <row r="292" spans="1:16">
      <c r="A292" s="5" t="s">
        <v>72</v>
      </c>
      <c r="B292" s="47" t="s">
        <v>308</v>
      </c>
      <c r="C292" s="47" t="s">
        <v>978</v>
      </c>
      <c r="D292" s="5">
        <v>68</v>
      </c>
      <c r="E292" s="8">
        <v>21162</v>
      </c>
      <c r="F292" t="s">
        <v>136</v>
      </c>
      <c r="G292" t="s">
        <v>137</v>
      </c>
      <c r="H292" s="9">
        <v>11500</v>
      </c>
      <c r="I292" s="9">
        <v>17500</v>
      </c>
      <c r="J292" s="5">
        <v>19</v>
      </c>
      <c r="K292" s="5" t="str">
        <f>IF(J292&lt;=10, "Baixo", IF(J292&lt;=25, "Médio", "Alto"))</f>
        <v>Médio</v>
      </c>
      <c r="L292" s="5" t="s">
        <v>874</v>
      </c>
      <c r="M292" s="2">
        <v>26000</v>
      </c>
      <c r="N292" s="5" t="str">
        <f>IF(A292="Inativo", "Inativo", IF(A292="", "Negado", IF(COUNTIF(C:C, C292)&gt;1, "Negado", IF(AND(K292="Alto", L292="S"), "Negado", "Aprovado"))))</f>
        <v>Aprovado</v>
      </c>
      <c r="O292" s="5" t="str">
        <f>IF(A292="Inativo", "Inativo", IF(A292="", "Negado", IF(COUNTIF(C:C, C292)&gt;1, "Negado", IF(AND(I292&gt;50000, L292="S"), "Negado", "Aprovado"))))</f>
        <v>Aprovado</v>
      </c>
      <c r="P292" s="2">
        <f>IF(OR(N292="Negado", O292="Negado", A292="", L292=""), 0, IF(A292="Ativo", M292*0.08, 0))</f>
        <v>2080</v>
      </c>
    </row>
    <row r="293" spans="1:16">
      <c r="A293" s="5" t="s">
        <v>72</v>
      </c>
      <c r="B293" s="47" t="s">
        <v>175</v>
      </c>
      <c r="C293" s="47" t="s">
        <v>176</v>
      </c>
      <c r="D293" s="5">
        <v>19</v>
      </c>
      <c r="E293" s="8">
        <v>39220</v>
      </c>
      <c r="F293" t="s">
        <v>143</v>
      </c>
      <c r="G293" t="s">
        <v>144</v>
      </c>
      <c r="H293" s="9">
        <v>18000</v>
      </c>
      <c r="I293" s="9">
        <v>50500</v>
      </c>
      <c r="J293" s="5">
        <v>11</v>
      </c>
      <c r="K293" s="5" t="str">
        <f>IF(J293&lt;=10, "Baixo", IF(J293&lt;=25, "Médio", "Alto"))</f>
        <v>Médio</v>
      </c>
      <c r="L293" s="5" t="s">
        <v>876</v>
      </c>
      <c r="M293" s="2">
        <v>26000</v>
      </c>
      <c r="N293" s="5" t="str">
        <f>IF(A293="Inativo", "Inativo", IF(A293="", "Negado", IF(COUNTIF(C:C, C293)&gt;1, "Negado", IF(AND(K293="Alto", L293="S"), "Negado", "Aprovado"))))</f>
        <v>Aprovado</v>
      </c>
      <c r="O293" s="5" t="str">
        <f>IF(A293="Inativo", "Inativo", IF(A293="", "Negado", IF(COUNTIF(C:C, C293)&gt;1, "Negado", IF(AND(I293&gt;50000, L293="S"), "Negado", "Aprovado"))))</f>
        <v>Negado</v>
      </c>
      <c r="P293" s="2">
        <f>IF(OR(N293="Negado", O293="Negado", A293="", L293=""), 0, IF(A293="Ativo", M293*0.08, 0))</f>
        <v>0</v>
      </c>
    </row>
    <row r="294" spans="1:16">
      <c r="A294" s="5" t="s">
        <v>77</v>
      </c>
      <c r="B294" s="47" t="s">
        <v>78</v>
      </c>
      <c r="C294" s="7" t="s">
        <v>979</v>
      </c>
      <c r="D294" s="5">
        <v>24</v>
      </c>
      <c r="E294" s="8">
        <v>37313</v>
      </c>
      <c r="F294" t="s">
        <v>79</v>
      </c>
      <c r="G294" t="s">
        <v>301</v>
      </c>
      <c r="H294" s="9">
        <v>11000</v>
      </c>
      <c r="I294" s="9">
        <v>76500</v>
      </c>
      <c r="J294" s="5">
        <v>33</v>
      </c>
      <c r="K294" s="5" t="str">
        <f>IF(J294&lt;=10, "Baixo", IF(J294&lt;=25, "Médio", "Alto"))</f>
        <v>Alto</v>
      </c>
      <c r="L294" s="5" t="s">
        <v>876</v>
      </c>
      <c r="M294" s="2">
        <v>26000</v>
      </c>
      <c r="N294" s="5" t="str">
        <f>IF(A294="Inativo", "Inativo", IF(A294="", "Negado", IF(COUNTIF(C:C, C294)&gt;1, "Negado", IF(AND(K294="Alto", L294="S"), "Negado", "Aprovado"))))</f>
        <v>Inativo</v>
      </c>
      <c r="O294" s="5" t="str">
        <f>IF(A294="Inativo", "Inativo", IF(A294="", "Negado", IF(COUNTIF(C:C, C294)&gt;1, "Negado", IF(AND(I294&gt;50000, L294="S"), "Negado", "Aprovado"))))</f>
        <v>Inativo</v>
      </c>
      <c r="P294" s="2">
        <f>IF(OR(N294="Negado", O294="Negado", A294="", L294=""), 0, IF(A294="Ativo", M294*0.08, 0))</f>
        <v>0</v>
      </c>
    </row>
    <row r="295" spans="1:16">
      <c r="A295" s="5" t="s">
        <v>72</v>
      </c>
      <c r="B295" s="47" t="s">
        <v>829</v>
      </c>
      <c r="C295" s="47" t="s">
        <v>830</v>
      </c>
      <c r="D295" s="5">
        <v>50</v>
      </c>
      <c r="E295" s="8">
        <v>27729</v>
      </c>
      <c r="F295" t="s">
        <v>84</v>
      </c>
      <c r="G295" t="s">
        <v>411</v>
      </c>
      <c r="H295" s="9">
        <v>22800</v>
      </c>
      <c r="I295" s="9">
        <v>70000</v>
      </c>
      <c r="J295" s="5">
        <v>14</v>
      </c>
      <c r="K295" s="5" t="str">
        <f>IF(J295&lt;=10, "Baixo", IF(J295&lt;=25, "Médio", "Alto"))</f>
        <v>Médio</v>
      </c>
      <c r="L295" s="5" t="s">
        <v>876</v>
      </c>
      <c r="M295" s="2">
        <v>25500</v>
      </c>
      <c r="N295" s="5" t="str">
        <f>IF(A295="Inativo", "Inativo", IF(A295="", "Negado", IF(COUNTIF(C:C, C295)&gt;1, "Negado", IF(AND(K295="Alto", L295="S"), "Negado", "Aprovado"))))</f>
        <v>Aprovado</v>
      </c>
      <c r="O295" s="5" t="str">
        <f>IF(A295="Inativo", "Inativo", IF(A295="", "Negado", IF(COUNTIF(C:C, C295)&gt;1, "Negado", IF(AND(I295&gt;50000, L295="S"), "Negado", "Aprovado"))))</f>
        <v>Negado</v>
      </c>
      <c r="P295" s="2">
        <f>IF(OR(N295="Negado", O295="Negado", A295="", L295=""), 0, IF(A295="Ativo", M295*0.08, 0))</f>
        <v>0</v>
      </c>
    </row>
    <row r="296" spans="1:16">
      <c r="A296" s="5" t="s">
        <v>72</v>
      </c>
      <c r="B296" s="47" t="s">
        <v>628</v>
      </c>
      <c r="C296" s="47" t="s">
        <v>629</v>
      </c>
      <c r="D296" s="5">
        <v>59</v>
      </c>
      <c r="E296" s="8">
        <v>24578</v>
      </c>
      <c r="F296" t="s">
        <v>240</v>
      </c>
      <c r="G296" t="s">
        <v>453</v>
      </c>
      <c r="H296" s="9">
        <v>6600</v>
      </c>
      <c r="I296" s="9">
        <v>50000</v>
      </c>
      <c r="J296" s="5">
        <v>9</v>
      </c>
      <c r="K296" s="5" t="str">
        <f>IF(J296&lt;=10, "Baixo", IF(J296&lt;=25, "Médio", "Alto"))</f>
        <v>Baixo</v>
      </c>
      <c r="L296" s="5" t="s">
        <v>876</v>
      </c>
      <c r="M296" s="2">
        <v>25000</v>
      </c>
      <c r="N296" s="5" t="str">
        <f>IF(A296="Inativo", "Inativo", IF(A296="", "Negado", IF(COUNTIF(C:C, C296)&gt;1, "Negado", IF(AND(K296="Alto", L296="S"), "Negado", "Aprovado"))))</f>
        <v>Aprovado</v>
      </c>
      <c r="O296" s="5" t="str">
        <f>IF(A296="Inativo", "Inativo", IF(A296="", "Negado", IF(COUNTIF(C:C, C296)&gt;1, "Negado", IF(AND(I296&gt;50000, L296="S"), "Negado", "Aprovado"))))</f>
        <v>Aprovado</v>
      </c>
      <c r="P296" s="2">
        <f>IF(OR(N296="Negado", O296="Negado", A296="", L296=""), 0, IF(A296="Ativo", M296*0.08, 0))</f>
        <v>2000</v>
      </c>
    </row>
    <row r="297" spans="1:16">
      <c r="A297" s="5" t="s">
        <v>72</v>
      </c>
      <c r="B297" s="47" t="s">
        <v>780</v>
      </c>
      <c r="C297" s="47" t="s">
        <v>781</v>
      </c>
      <c r="D297" s="5">
        <v>29</v>
      </c>
      <c r="E297" s="8">
        <v>35600</v>
      </c>
      <c r="F297" t="s">
        <v>164</v>
      </c>
      <c r="G297" t="s">
        <v>134</v>
      </c>
      <c r="H297" s="9">
        <v>9600</v>
      </c>
      <c r="I297" s="9">
        <v>41000</v>
      </c>
      <c r="J297" s="5">
        <v>27</v>
      </c>
      <c r="K297" s="5" t="str">
        <f>IF(J297&lt;=10, "Baixo", IF(J297&lt;=25, "Médio", "Alto"))</f>
        <v>Alto</v>
      </c>
      <c r="L297" s="5" t="s">
        <v>874</v>
      </c>
      <c r="M297" s="2">
        <v>25000</v>
      </c>
      <c r="N297" s="5" t="str">
        <f>IF(A297="Inativo", "Inativo", IF(A297="", "Negado", IF(COUNTIF(C:C, C297)&gt;1, "Negado", IF(AND(K297="Alto", L297="S"), "Negado", "Aprovado"))))</f>
        <v>Aprovado</v>
      </c>
      <c r="O297" s="5" t="str">
        <f>IF(A297="Inativo", "Inativo", IF(A297="", "Negado", IF(COUNTIF(C:C, C297)&gt;1, "Negado", IF(AND(I297&gt;50000, L297="S"), "Negado", "Aprovado"))))</f>
        <v>Aprovado</v>
      </c>
      <c r="P297" s="2">
        <f>IF(OR(N297="Negado", O297="Negado", A297="", L297=""), 0, IF(A297="Ativo", M297*0.08, 0))</f>
        <v>2000</v>
      </c>
    </row>
    <row r="298" spans="1:16">
      <c r="A298" s="5" t="s">
        <v>72</v>
      </c>
      <c r="B298" s="47" t="s">
        <v>409</v>
      </c>
      <c r="C298" s="47" t="s">
        <v>410</v>
      </c>
      <c r="D298" s="5">
        <v>73</v>
      </c>
      <c r="E298" s="8">
        <v>19314</v>
      </c>
      <c r="F298" t="s">
        <v>84</v>
      </c>
      <c r="G298" t="s">
        <v>411</v>
      </c>
      <c r="H298" s="9">
        <v>6100</v>
      </c>
      <c r="I298" s="9">
        <v>16000</v>
      </c>
      <c r="J298" s="5">
        <v>9</v>
      </c>
      <c r="K298" s="5" t="str">
        <f>IF(J298&lt;=10, "Baixo", IF(J298&lt;=25, "Médio", "Alto"))</f>
        <v>Baixo</v>
      </c>
      <c r="L298" s="5" t="s">
        <v>874</v>
      </c>
      <c r="M298" s="2">
        <v>24500</v>
      </c>
      <c r="N298" s="5" t="str">
        <f>IF(A298="Inativo", "Inativo", IF(A298="", "Negado", IF(COUNTIF(C:C, C298)&gt;1, "Negado", IF(AND(K298="Alto", L298="S"), "Negado", "Aprovado"))))</f>
        <v>Aprovado</v>
      </c>
      <c r="O298" s="5" t="str">
        <f>IF(A298="Inativo", "Inativo", IF(A298="", "Negado", IF(COUNTIF(C:C, C298)&gt;1, "Negado", IF(AND(I298&gt;50000, L298="S"), "Negado", "Aprovado"))))</f>
        <v>Aprovado</v>
      </c>
      <c r="P298" s="2">
        <f>IF(OR(N298="Negado", O298="Negado", A298="", L298=""), 0, IF(A298="Ativo", M298*0.08, 0))</f>
        <v>1960</v>
      </c>
    </row>
    <row r="299" spans="1:16">
      <c r="A299" s="5" t="s">
        <v>72</v>
      </c>
      <c r="B299" s="47" t="s">
        <v>390</v>
      </c>
      <c r="C299" s="47" t="s">
        <v>391</v>
      </c>
      <c r="D299" s="5">
        <v>69</v>
      </c>
      <c r="E299" s="8">
        <v>21051</v>
      </c>
      <c r="F299" t="s">
        <v>79</v>
      </c>
      <c r="G299" t="s">
        <v>301</v>
      </c>
      <c r="H299" s="9">
        <v>25100</v>
      </c>
      <c r="I299" s="9">
        <v>40500</v>
      </c>
      <c r="J299" s="5">
        <v>43</v>
      </c>
      <c r="K299" s="5" t="str">
        <f>IF(J299&lt;=10, "Baixo", IF(J299&lt;=25, "Médio", "Alto"))</f>
        <v>Alto</v>
      </c>
      <c r="L299" s="5" t="s">
        <v>874</v>
      </c>
      <c r="M299" s="2">
        <v>24500</v>
      </c>
      <c r="N299" s="5" t="str">
        <f>IF(A299="Inativo", "Inativo", IF(A299="", "Negado", IF(COUNTIF(C:C, C299)&gt;1, "Negado", IF(AND(K299="Alto", L299="S"), "Negado", "Aprovado"))))</f>
        <v>Aprovado</v>
      </c>
      <c r="O299" s="5" t="str">
        <f>IF(A299="Inativo", "Inativo", IF(A299="", "Negado", IF(COUNTIF(C:C, C299)&gt;1, "Negado", IF(AND(I299&gt;50000, L299="S"), "Negado", "Aprovado"))))</f>
        <v>Aprovado</v>
      </c>
      <c r="P299" s="2">
        <f>IF(OR(N299="Negado", O299="Negado", A299="", L299=""), 0, IF(A299="Ativo", M299*0.08, 0))</f>
        <v>1960</v>
      </c>
    </row>
    <row r="300" spans="1:16">
      <c r="A300" s="5" t="s">
        <v>72</v>
      </c>
      <c r="B300" s="47" t="s">
        <v>757</v>
      </c>
      <c r="C300" s="47" t="s">
        <v>758</v>
      </c>
      <c r="D300" s="5">
        <v>67</v>
      </c>
      <c r="E300" s="8">
        <v>21497</v>
      </c>
      <c r="F300" t="s">
        <v>107</v>
      </c>
      <c r="G300" s="1" t="s">
        <v>108</v>
      </c>
      <c r="H300" s="9">
        <v>21600</v>
      </c>
      <c r="I300" s="9">
        <v>73500</v>
      </c>
      <c r="J300" s="5">
        <v>7</v>
      </c>
      <c r="K300" s="5" t="str">
        <f>IF(J300&lt;=10, "Baixo", IF(J300&lt;=25, "Médio", "Alto"))</f>
        <v>Baixo</v>
      </c>
      <c r="L300" s="5" t="s">
        <v>876</v>
      </c>
      <c r="M300" s="2">
        <v>24500</v>
      </c>
      <c r="N300" s="5" t="str">
        <f>IF(A300="Inativo", "Inativo", IF(A300="", "Negado", IF(COUNTIF(C:C, C300)&gt;1, "Negado", IF(AND(K300="Alto", L300="S"), "Negado", "Aprovado"))))</f>
        <v>Aprovado</v>
      </c>
      <c r="O300" s="5" t="str">
        <f>IF(A300="Inativo", "Inativo", IF(A300="", "Negado", IF(COUNTIF(C:C, C300)&gt;1, "Negado", IF(AND(I300&gt;50000, L300="S"), "Negado", "Aprovado"))))</f>
        <v>Negado</v>
      </c>
      <c r="P300" s="2">
        <f>IF(OR(N300="Negado", O300="Negado", A300="", L300=""), 0, IF(A300="Ativo", M300*0.08, 0))</f>
        <v>0</v>
      </c>
    </row>
    <row r="301" spans="1:16">
      <c r="A301" s="5" t="s">
        <v>77</v>
      </c>
      <c r="B301" s="47" t="s">
        <v>577</v>
      </c>
      <c r="C301" s="47" t="s">
        <v>578</v>
      </c>
      <c r="D301" s="5">
        <v>33</v>
      </c>
      <c r="E301" s="8">
        <v>33902</v>
      </c>
      <c r="F301" t="s">
        <v>168</v>
      </c>
      <c r="G301" t="s">
        <v>144</v>
      </c>
      <c r="H301" s="9">
        <v>12500</v>
      </c>
      <c r="I301" s="9">
        <v>51500</v>
      </c>
      <c r="J301" s="5">
        <v>44</v>
      </c>
      <c r="K301" s="5" t="str">
        <f>IF(J301&lt;=10, "Baixo", IF(J301&lt;=25, "Médio", "Alto"))</f>
        <v>Alto</v>
      </c>
      <c r="L301" s="5" t="s">
        <v>876</v>
      </c>
      <c r="M301" s="2">
        <v>24000</v>
      </c>
      <c r="N301" s="5" t="str">
        <f>IF(A301="Inativo", "Inativo", IF(A301="", "Negado", IF(COUNTIF(C:C, C301)&gt;1, "Negado", IF(AND(K301="Alto", L301="S"), "Negado", "Aprovado"))))</f>
        <v>Inativo</v>
      </c>
      <c r="O301" s="5" t="str">
        <f>IF(A301="Inativo", "Inativo", IF(A301="", "Negado", IF(COUNTIF(C:C, C301)&gt;1, "Negado", IF(AND(I301&gt;50000, L301="S"), "Negado", "Aprovado"))))</f>
        <v>Inativo</v>
      </c>
      <c r="P301" s="2">
        <f>IF(OR(N301="Negado", O301="Negado", A301="", L301=""), 0, IF(A301="Ativo", M301*0.08, 0))</f>
        <v>0</v>
      </c>
    </row>
    <row r="302" spans="1:16">
      <c r="A302" s="5" t="s">
        <v>72</v>
      </c>
      <c r="B302" s="47" t="s">
        <v>243</v>
      </c>
      <c r="C302" s="47" t="s">
        <v>244</v>
      </c>
      <c r="D302" s="5">
        <v>47</v>
      </c>
      <c r="E302" s="8">
        <v>28802</v>
      </c>
      <c r="F302" t="s">
        <v>240</v>
      </c>
      <c r="G302" t="s">
        <v>453</v>
      </c>
      <c r="H302" s="9">
        <v>22700</v>
      </c>
      <c r="I302" s="9">
        <v>8500</v>
      </c>
      <c r="J302" s="5">
        <v>35</v>
      </c>
      <c r="K302" s="5" t="str">
        <f>IF(J302&lt;=10, "Baixo", IF(J302&lt;=25, "Médio", "Alto"))</f>
        <v>Alto</v>
      </c>
      <c r="M302" s="2">
        <v>23500</v>
      </c>
      <c r="N302" s="5" t="str">
        <f>IF(A302="Inativo", "Inativo", IF(A302="", "Negado", IF(COUNTIF(C:C, C302)&gt;1, "Negado", IF(AND(K302="Alto", L302="S"), "Negado", "Aprovado"))))</f>
        <v>Aprovado</v>
      </c>
      <c r="O302" s="5" t="str">
        <f>IF(A302="Inativo", "Inativo", IF(A302="", "Negado", IF(COUNTIF(C:C, C302)&gt;1, "Negado", IF(AND(I302&gt;50000, L302="S"), "Negado", "Aprovado"))))</f>
        <v>Aprovado</v>
      </c>
      <c r="P302" s="2">
        <f>IF(OR(N302="Negado", O302="Negado", A302="", L302=""), 0, IF(A302="Ativo", M302*0.08, 0))</f>
        <v>0</v>
      </c>
    </row>
    <row r="303" spans="1:16">
      <c r="A303" s="5" t="s">
        <v>72</v>
      </c>
      <c r="B303" s="47" t="s">
        <v>190</v>
      </c>
      <c r="C303" s="47" t="s">
        <v>191</v>
      </c>
      <c r="D303" s="5">
        <v>40</v>
      </c>
      <c r="E303" s="8">
        <v>31539</v>
      </c>
      <c r="F303" t="s">
        <v>157</v>
      </c>
      <c r="G303" t="s">
        <v>137</v>
      </c>
      <c r="H303" s="9">
        <v>9900</v>
      </c>
      <c r="I303" s="9">
        <v>3500</v>
      </c>
      <c r="J303" s="5">
        <v>1</v>
      </c>
      <c r="K303" s="5" t="str">
        <f>IF(J303&lt;=10, "Baixo", IF(J303&lt;=25, "Médio", "Alto"))</f>
        <v>Baixo</v>
      </c>
      <c r="L303" s="5" t="s">
        <v>874</v>
      </c>
      <c r="M303" s="2">
        <v>23500</v>
      </c>
      <c r="N303" s="5" t="str">
        <f>IF(A303="Inativo", "Inativo", IF(A303="", "Negado", IF(COUNTIF(C:C, C303)&gt;1, "Negado", IF(AND(K303="Alto", L303="S"), "Negado", "Aprovado"))))</f>
        <v>Aprovado</v>
      </c>
      <c r="O303" s="5" t="str">
        <f>IF(A303="Inativo", "Inativo", IF(A303="", "Negado", IF(COUNTIF(C:C, C303)&gt;1, "Negado", IF(AND(I303&gt;50000, L303="S"), "Negado", "Aprovado"))))</f>
        <v>Aprovado</v>
      </c>
      <c r="P303" s="2">
        <f>IF(OR(N303="Negado", O303="Negado", A303="", L303=""), 0, IF(A303="Ativo", M303*0.08, 0))</f>
        <v>1880</v>
      </c>
    </row>
    <row r="304" spans="1:16">
      <c r="A304" s="5" t="s">
        <v>72</v>
      </c>
      <c r="B304" s="47" t="s">
        <v>287</v>
      </c>
      <c r="C304" s="47" t="s">
        <v>288</v>
      </c>
      <c r="D304" s="5">
        <v>37</v>
      </c>
      <c r="E304" s="8">
        <v>32543</v>
      </c>
      <c r="F304" t="s">
        <v>143</v>
      </c>
      <c r="G304" t="s">
        <v>144</v>
      </c>
      <c r="H304" s="9">
        <v>29200</v>
      </c>
      <c r="I304" s="9">
        <v>45000</v>
      </c>
      <c r="J304" s="5">
        <v>26</v>
      </c>
      <c r="K304" s="5" t="str">
        <f>IF(J304&lt;=10, "Baixo", IF(J304&lt;=25, "Médio", "Alto"))</f>
        <v>Alto</v>
      </c>
      <c r="L304" s="5" t="s">
        <v>874</v>
      </c>
      <c r="M304" s="2">
        <v>23500</v>
      </c>
      <c r="N304" s="5" t="str">
        <f>IF(A304="Inativo", "Inativo", IF(A304="", "Negado", IF(COUNTIF(C:C, C304)&gt;1, "Negado", IF(AND(K304="Alto", L304="S"), "Negado", "Aprovado"))))</f>
        <v>Negado</v>
      </c>
      <c r="O304" s="5" t="str">
        <f>IF(A304="Inativo", "Inativo", IF(A304="", "Negado", IF(COUNTIF(C:C, C304)&gt;1, "Negado", IF(AND(I304&gt;50000, L304="S"), "Negado", "Aprovado"))))</f>
        <v>Negado</v>
      </c>
      <c r="P304" s="2">
        <f>IF(OR(N304="Negado", O304="Negado", A304="", L304=""), 0, IF(A304="Ativo", M304*0.08, 0))</f>
        <v>0</v>
      </c>
    </row>
    <row r="305" spans="1:16">
      <c r="A305" s="5" t="s">
        <v>77</v>
      </c>
      <c r="B305" s="47" t="s">
        <v>265</v>
      </c>
      <c r="C305" s="47" t="s">
        <v>773</v>
      </c>
      <c r="D305" s="5">
        <v>65</v>
      </c>
      <c r="E305" s="8">
        <v>22275</v>
      </c>
      <c r="F305" t="s">
        <v>75</v>
      </c>
      <c r="G305" t="s">
        <v>76</v>
      </c>
      <c r="H305" s="9">
        <v>3300</v>
      </c>
      <c r="I305" s="9">
        <v>43500</v>
      </c>
      <c r="J305" s="5">
        <v>27</v>
      </c>
      <c r="K305" s="5" t="str">
        <f>IF(J305&lt;=10, "Baixo", IF(J305&lt;=25, "Médio", "Alto"))</f>
        <v>Alto</v>
      </c>
      <c r="L305" s="5" t="s">
        <v>874</v>
      </c>
      <c r="M305" s="2">
        <v>23500</v>
      </c>
      <c r="N305" s="5" t="str">
        <f>IF(A305="Inativo", "Inativo", IF(A305="", "Negado", IF(COUNTIF(C:C, C305)&gt;1, "Negado", IF(AND(K305="Alto", L305="S"), "Negado", "Aprovado"))))</f>
        <v>Inativo</v>
      </c>
      <c r="O305" s="5" t="str">
        <f>IF(A305="Inativo", "Inativo", IF(A305="", "Negado", IF(COUNTIF(C:C, C305)&gt;1, "Negado", IF(AND(I305&gt;50000, L305="S"), "Negado", "Aprovado"))))</f>
        <v>Inativo</v>
      </c>
      <c r="P305" s="2">
        <f>IF(OR(N305="Negado", O305="Negado", A305="", L305=""), 0, IF(A305="Ativo", M305*0.08, 0))</f>
        <v>0</v>
      </c>
    </row>
    <row r="306" spans="1:16">
      <c r="A306" s="5" t="s">
        <v>72</v>
      </c>
      <c r="B306" s="47" t="s">
        <v>366</v>
      </c>
      <c r="C306" s="47" t="s">
        <v>980</v>
      </c>
      <c r="D306" s="5">
        <v>29</v>
      </c>
      <c r="E306" s="8">
        <v>35344</v>
      </c>
      <c r="F306" t="s">
        <v>75</v>
      </c>
      <c r="G306" t="s">
        <v>76</v>
      </c>
      <c r="H306" s="9">
        <v>19900</v>
      </c>
      <c r="I306" s="9">
        <v>49500</v>
      </c>
      <c r="J306" s="5">
        <v>27</v>
      </c>
      <c r="K306" s="5" t="str">
        <f>IF(J306&lt;=10, "Baixo", IF(J306&lt;=25, "Médio", "Alto"))</f>
        <v>Alto</v>
      </c>
      <c r="L306" s="5" t="s">
        <v>876</v>
      </c>
      <c r="M306" s="2">
        <v>23000</v>
      </c>
      <c r="N306" s="5" t="str">
        <f>IF(A306="Inativo", "Inativo", IF(A306="", "Negado", IF(COUNTIF(C:C, C306)&gt;1, "Negado", IF(AND(K306="Alto", L306="S"), "Negado", "Aprovado"))))</f>
        <v>Negado</v>
      </c>
      <c r="O306" s="5" t="str">
        <f>IF(A306="Inativo", "Inativo", IF(A306="", "Negado", IF(COUNTIF(C:C, C306)&gt;1, "Negado", IF(AND(I306&gt;50000, L306="S"), "Negado", "Aprovado"))))</f>
        <v>Aprovado</v>
      </c>
      <c r="P306" s="2">
        <f>IF(OR(N306="Negado", O306="Negado", A306="", L306=""), 0, IF(A306="Ativo", M306*0.08, 0))</f>
        <v>0</v>
      </c>
    </row>
    <row r="307" spans="1:16">
      <c r="A307" s="5" t="s">
        <v>77</v>
      </c>
      <c r="B307" s="47" t="s">
        <v>896</v>
      </c>
      <c r="C307" s="47" t="s">
        <v>500</v>
      </c>
      <c r="D307" s="5">
        <v>65</v>
      </c>
      <c r="E307" s="8">
        <v>22205</v>
      </c>
      <c r="F307" t="s">
        <v>136</v>
      </c>
      <c r="G307" t="s">
        <v>137</v>
      </c>
      <c r="H307" s="9">
        <v>19800</v>
      </c>
      <c r="I307" s="9">
        <v>78500</v>
      </c>
      <c r="J307" s="5">
        <v>34</v>
      </c>
      <c r="K307" s="5" t="str">
        <f>IF(J307&lt;=10, "Baixo", IF(J307&lt;=25, "Médio", "Alto"))</f>
        <v>Alto</v>
      </c>
      <c r="L307" s="5" t="s">
        <v>874</v>
      </c>
      <c r="M307" s="2">
        <v>23000</v>
      </c>
      <c r="N307" s="5" t="str">
        <f>IF(A307="Inativo", "Inativo", IF(A307="", "Negado", IF(COUNTIF(C:C, C307)&gt;1, "Negado", IF(AND(K307="Alto", L307="S"), "Negado", "Aprovado"))))</f>
        <v>Inativo</v>
      </c>
      <c r="O307" s="5" t="str">
        <f>IF(A307="Inativo", "Inativo", IF(A307="", "Negado", IF(COUNTIF(C:C, C307)&gt;1, "Negado", IF(AND(I307&gt;50000, L307="S"), "Negado", "Aprovado"))))</f>
        <v>Inativo</v>
      </c>
      <c r="P307" s="2">
        <f>IF(OR(N307="Negado", O307="Negado", A307="", L307=""), 0, IF(A307="Ativo", M307*0.08, 0))</f>
        <v>0</v>
      </c>
    </row>
    <row r="308" spans="1:16">
      <c r="A308" s="5" t="s">
        <v>72</v>
      </c>
      <c r="B308" s="47" t="s">
        <v>648</v>
      </c>
      <c r="C308" s="47" t="s">
        <v>649</v>
      </c>
      <c r="D308" s="5">
        <v>65</v>
      </c>
      <c r="E308" s="8">
        <v>22314</v>
      </c>
      <c r="F308" t="s">
        <v>79</v>
      </c>
      <c r="G308" t="s">
        <v>301</v>
      </c>
      <c r="H308" s="9">
        <v>6100</v>
      </c>
      <c r="I308" s="9">
        <v>40000</v>
      </c>
      <c r="J308" s="5">
        <v>13</v>
      </c>
      <c r="K308" s="5" t="str">
        <f>IF(J308&lt;=10, "Baixo", IF(J308&lt;=25, "Médio", "Alto"))</f>
        <v>Médio</v>
      </c>
      <c r="L308" s="5" t="s">
        <v>874</v>
      </c>
      <c r="M308" s="2">
        <v>22500</v>
      </c>
      <c r="N308" s="5" t="str">
        <f>IF(A308="Inativo", "Inativo", IF(A308="", "Negado", IF(COUNTIF(C:C, C308)&gt;1, "Negado", IF(AND(K308="Alto", L308="S"), "Negado", "Aprovado"))))</f>
        <v>Aprovado</v>
      </c>
      <c r="O308" s="5" t="str">
        <f>IF(A308="Inativo", "Inativo", IF(A308="", "Negado", IF(COUNTIF(C:C, C308)&gt;1, "Negado", IF(AND(I308&gt;50000, L308="S"), "Negado", "Aprovado"))))</f>
        <v>Aprovado</v>
      </c>
      <c r="P308" s="2">
        <f>IF(OR(N308="Negado", O308="Negado", A308="", L308=""), 0, IF(A308="Ativo", M308*0.08, 0))</f>
        <v>1800</v>
      </c>
    </row>
    <row r="309" spans="1:16">
      <c r="A309" s="5" t="s">
        <v>77</v>
      </c>
      <c r="B309" s="47" t="s">
        <v>448</v>
      </c>
      <c r="C309" s="47" t="s">
        <v>981</v>
      </c>
      <c r="D309" s="5">
        <v>74</v>
      </c>
      <c r="E309" s="8">
        <v>19234</v>
      </c>
      <c r="F309" t="s">
        <v>168</v>
      </c>
      <c r="G309" t="s">
        <v>144</v>
      </c>
      <c r="H309" s="9">
        <v>8900</v>
      </c>
      <c r="I309" s="9">
        <v>4000</v>
      </c>
      <c r="J309" s="5">
        <v>38</v>
      </c>
      <c r="K309" s="5" t="str">
        <f>IF(J309&lt;=10, "Baixo", IF(J309&lt;=25, "Médio", "Alto"))</f>
        <v>Alto</v>
      </c>
      <c r="L309" s="5" t="s">
        <v>874</v>
      </c>
      <c r="M309" s="2">
        <v>22500</v>
      </c>
      <c r="N309" s="5" t="str">
        <f>IF(A309="Inativo", "Inativo", IF(A309="", "Negado", IF(COUNTIF(C:C, C309)&gt;1, "Negado", IF(AND(K309="Alto", L309="S"), "Negado", "Aprovado"))))</f>
        <v>Inativo</v>
      </c>
      <c r="O309" s="5" t="str">
        <f>IF(A309="Inativo", "Inativo", IF(A309="", "Negado", IF(COUNTIF(C:C, C309)&gt;1, "Negado", IF(AND(I309&gt;50000, L309="S"), "Negado", "Aprovado"))))</f>
        <v>Inativo</v>
      </c>
      <c r="P309" s="2">
        <f>IF(OR(N309="Negado", O309="Negado", A309="", L309=""), 0, IF(A309="Ativo", M309*0.08, 0))</f>
        <v>0</v>
      </c>
    </row>
    <row r="310" spans="1:16">
      <c r="A310" s="5" t="s">
        <v>72</v>
      </c>
      <c r="B310" s="47" t="s">
        <v>399</v>
      </c>
      <c r="C310" s="47" t="s">
        <v>982</v>
      </c>
      <c r="D310" s="5">
        <v>41</v>
      </c>
      <c r="E310" s="8">
        <v>30992</v>
      </c>
      <c r="F310" t="s">
        <v>98</v>
      </c>
      <c r="G310" t="s">
        <v>103</v>
      </c>
      <c r="H310" s="9">
        <v>28600</v>
      </c>
      <c r="I310" s="9">
        <v>67500</v>
      </c>
      <c r="J310" s="5">
        <v>39</v>
      </c>
      <c r="K310" s="5" t="str">
        <f>IF(J310&lt;=10, "Baixo", IF(J310&lt;=25, "Médio", "Alto"))</f>
        <v>Alto</v>
      </c>
      <c r="L310" s="5" t="s">
        <v>874</v>
      </c>
      <c r="M310" s="2">
        <v>22000</v>
      </c>
      <c r="N310" s="5" t="str">
        <f>IF(A310="Inativo", "Inativo", IF(A310="", "Negado", IF(COUNTIF(C:C, C310)&gt;1, "Negado", IF(AND(K310="Alto", L310="S"), "Negado", "Aprovado"))))</f>
        <v>Aprovado</v>
      </c>
      <c r="O310" s="5" t="str">
        <f>IF(A310="Inativo", "Inativo", IF(A310="", "Negado", IF(COUNTIF(C:C, C310)&gt;1, "Negado", IF(AND(I310&gt;50000, L310="S"), "Negado", "Aprovado"))))</f>
        <v>Aprovado</v>
      </c>
      <c r="P310" s="2">
        <f>IF(OR(N310="Negado", O310="Negado", A310="", L310=""), 0, IF(A310="Ativo", M310*0.08, 0))</f>
        <v>1760</v>
      </c>
    </row>
    <row r="311" spans="1:16">
      <c r="A311" s="5" t="s">
        <v>72</v>
      </c>
      <c r="B311" s="47" t="s">
        <v>845</v>
      </c>
      <c r="C311" s="47" t="s">
        <v>846</v>
      </c>
      <c r="D311" s="5">
        <v>28</v>
      </c>
      <c r="E311" s="8">
        <v>35757</v>
      </c>
      <c r="F311" t="s">
        <v>116</v>
      </c>
      <c r="G311" t="s">
        <v>117</v>
      </c>
      <c r="H311" s="9">
        <v>16600</v>
      </c>
      <c r="I311" s="9">
        <v>23500</v>
      </c>
      <c r="J311" s="5">
        <v>10</v>
      </c>
      <c r="K311" s="5" t="str">
        <f>IF(J311&lt;=10, "Baixo", IF(J311&lt;=25, "Médio", "Alto"))</f>
        <v>Baixo</v>
      </c>
      <c r="L311" s="5" t="s">
        <v>874</v>
      </c>
      <c r="M311" s="2">
        <v>21500</v>
      </c>
      <c r="N311" s="5" t="str">
        <f>IF(A311="Inativo", "Inativo", IF(A311="", "Negado", IF(COUNTIF(C:C, C311)&gt;1, "Negado", IF(AND(K311="Alto", L311="S"), "Negado", "Aprovado"))))</f>
        <v>Aprovado</v>
      </c>
      <c r="O311" s="5" t="str">
        <f>IF(A311="Inativo", "Inativo", IF(A311="", "Negado", IF(COUNTIF(C:C, C311)&gt;1, "Negado", IF(AND(I311&gt;50000, L311="S"), "Negado", "Aprovado"))))</f>
        <v>Aprovado</v>
      </c>
      <c r="P311" s="2">
        <f>IF(OR(N311="Negado", O311="Negado", A311="", L311=""), 0, IF(A311="Ativo", M311*0.08, 0))</f>
        <v>1720</v>
      </c>
    </row>
    <row r="312" spans="1:16">
      <c r="A312" s="5" t="s">
        <v>77</v>
      </c>
      <c r="B312" s="47" t="s">
        <v>692</v>
      </c>
      <c r="C312" s="47" t="s">
        <v>907</v>
      </c>
      <c r="D312" s="5">
        <v>46</v>
      </c>
      <c r="E312" s="8">
        <v>29427</v>
      </c>
      <c r="F312" t="s">
        <v>164</v>
      </c>
      <c r="G312" t="s">
        <v>134</v>
      </c>
      <c r="H312" s="9">
        <v>0</v>
      </c>
      <c r="I312" s="9">
        <v>37500</v>
      </c>
      <c r="K312" s="5" t="str">
        <f>IF(J312&lt;=10, "Baixo", IF(J312&lt;=25, "Médio", "Alto"))</f>
        <v>Baixo</v>
      </c>
      <c r="L312" s="5" t="s">
        <v>874</v>
      </c>
      <c r="M312" s="2">
        <v>21500</v>
      </c>
      <c r="N312" s="5" t="str">
        <f>IF(A312="Inativo", "Inativo", IF(A312="", "Negado", IF(COUNTIF(C:C, C312)&gt;1, "Negado", IF(AND(K312="Alto", L312="S"), "Negado", "Aprovado"))))</f>
        <v>Inativo</v>
      </c>
      <c r="O312" s="5" t="str">
        <f>IF(A312="Inativo", "Inativo", IF(A312="", "Negado", IF(COUNTIF(C:C, C312)&gt;1, "Negado", IF(AND(I312&gt;50000, L312="S"), "Negado", "Aprovado"))))</f>
        <v>Inativo</v>
      </c>
      <c r="P312" s="2">
        <f>IF(OR(N312="Negado", O312="Negado", A312="", L312=""), 0, IF(A312="Ativo", M312*0.08, 0))</f>
        <v>0</v>
      </c>
    </row>
    <row r="313" spans="1:16">
      <c r="A313" s="5" t="s">
        <v>72</v>
      </c>
      <c r="B313" s="47" t="s">
        <v>566</v>
      </c>
      <c r="C313" s="47" t="s">
        <v>567</v>
      </c>
      <c r="D313" s="5">
        <v>72</v>
      </c>
      <c r="E313" s="8">
        <v>19623</v>
      </c>
      <c r="F313" t="s">
        <v>98</v>
      </c>
      <c r="G313" t="s">
        <v>103</v>
      </c>
      <c r="H313" s="9">
        <v>12600</v>
      </c>
      <c r="I313" s="9">
        <v>5500</v>
      </c>
      <c r="J313" s="5">
        <v>35</v>
      </c>
      <c r="K313" s="5" t="str">
        <f>IF(J313&lt;=10, "Baixo", IF(J313&lt;=25, "Médio", "Alto"))</f>
        <v>Alto</v>
      </c>
      <c r="L313" s="5" t="s">
        <v>874</v>
      </c>
      <c r="M313" s="2">
        <v>21000</v>
      </c>
      <c r="N313" s="5" t="str">
        <f>IF(A313="Inativo", "Inativo", IF(A313="", "Negado", IF(COUNTIF(C:C, C313)&gt;1, "Negado", IF(AND(K313="Alto", L313="S"), "Negado", "Aprovado"))))</f>
        <v>Aprovado</v>
      </c>
      <c r="O313" s="5" t="str">
        <f>IF(A313="Inativo", "Inativo", IF(A313="", "Negado", IF(COUNTIF(C:C, C313)&gt;1, "Negado", IF(AND(I313&gt;50000, L313="S"), "Negado", "Aprovado"))))</f>
        <v>Aprovado</v>
      </c>
      <c r="P313" s="2">
        <f>IF(OR(N313="Negado", O313="Negado", A313="", L313=""), 0, IF(A313="Ativo", M313*0.08, 0))</f>
        <v>1680</v>
      </c>
    </row>
    <row r="314" spans="1:16">
      <c r="A314" s="5" t="s">
        <v>77</v>
      </c>
      <c r="B314" s="47" t="s">
        <v>601</v>
      </c>
      <c r="C314" s="47" t="s">
        <v>983</v>
      </c>
      <c r="D314" s="5">
        <v>38</v>
      </c>
      <c r="E314" s="8">
        <v>32118</v>
      </c>
      <c r="F314" t="s">
        <v>79</v>
      </c>
      <c r="G314" t="s">
        <v>301</v>
      </c>
      <c r="H314" s="9">
        <v>15800</v>
      </c>
      <c r="I314" s="9">
        <v>14500</v>
      </c>
      <c r="J314" s="5">
        <v>4</v>
      </c>
      <c r="K314" s="5" t="str">
        <f>IF(J314&lt;=10, "Baixo", IF(J314&lt;=25, "Médio", "Alto"))</f>
        <v>Baixo</v>
      </c>
      <c r="L314" s="5" t="s">
        <v>874</v>
      </c>
      <c r="M314" s="2">
        <v>21000</v>
      </c>
      <c r="N314" s="5" t="str">
        <f>IF(A314="Inativo", "Inativo", IF(A314="", "Negado", IF(COUNTIF(C:C, C314)&gt;1, "Negado", IF(AND(K314="Alto", L314="S"), "Negado", "Aprovado"))))</f>
        <v>Inativo</v>
      </c>
      <c r="O314" s="5" t="str">
        <f>IF(A314="Inativo", "Inativo", IF(A314="", "Negado", IF(COUNTIF(C:C, C314)&gt;1, "Negado", IF(AND(I314&gt;50000, L314="S"), "Negado", "Aprovado"))))</f>
        <v>Inativo</v>
      </c>
      <c r="P314" s="2">
        <f>IF(OR(N314="Negado", O314="Negado", A314="", L314=""), 0, IF(A314="Ativo", M314*0.08, 0))</f>
        <v>0</v>
      </c>
    </row>
    <row r="315" spans="1:16">
      <c r="A315" s="5" t="s">
        <v>72</v>
      </c>
      <c r="B315" s="47" t="s">
        <v>707</v>
      </c>
      <c r="C315" s="47" t="s">
        <v>984</v>
      </c>
      <c r="D315" s="5">
        <v>29</v>
      </c>
      <c r="E315" s="8">
        <v>35334</v>
      </c>
      <c r="F315" t="s">
        <v>107</v>
      </c>
      <c r="G315" t="s">
        <v>108</v>
      </c>
      <c r="H315" s="9">
        <v>19500</v>
      </c>
      <c r="I315" s="9">
        <v>57000</v>
      </c>
      <c r="J315" s="5">
        <v>12</v>
      </c>
      <c r="K315" s="5" t="str">
        <f>IF(J315&lt;=10, "Baixo", IF(J315&lt;=25, "Médio", "Alto"))</f>
        <v>Médio</v>
      </c>
      <c r="L315" s="5" t="s">
        <v>874</v>
      </c>
      <c r="M315" s="2">
        <v>20500</v>
      </c>
      <c r="N315" s="5" t="str">
        <f>IF(A315="Inativo", "Inativo", IF(A315="", "Negado", IF(COUNTIF(C:C, C315)&gt;1, "Negado", IF(AND(K315="Alto", L315="S"), "Negado", "Aprovado"))))</f>
        <v>Aprovado</v>
      </c>
      <c r="O315" s="5" t="str">
        <f>IF(A315="Inativo", "Inativo", IF(A315="", "Negado", IF(COUNTIF(C:C, C315)&gt;1, "Negado", IF(AND(I315&gt;50000, L315="S"), "Negado", "Aprovado"))))</f>
        <v>Aprovado</v>
      </c>
      <c r="P315" s="2">
        <f>IF(OR(N315="Negado", O315="Negado", A315="", L315=""), 0, IF(A315="Ativo", M315*0.08, 0))</f>
        <v>1640</v>
      </c>
    </row>
    <row r="316" spans="1:16">
      <c r="A316" s="5" t="s">
        <v>77</v>
      </c>
      <c r="B316" s="47" t="s">
        <v>985</v>
      </c>
      <c r="C316" s="47" t="s">
        <v>755</v>
      </c>
      <c r="D316" s="5">
        <v>73</v>
      </c>
      <c r="F316" t="s">
        <v>136</v>
      </c>
      <c r="G316" t="s">
        <v>137</v>
      </c>
      <c r="H316" s="9">
        <v>19900</v>
      </c>
      <c r="I316" s="9">
        <v>47000</v>
      </c>
      <c r="J316" s="5">
        <v>19</v>
      </c>
      <c r="K316" s="5" t="str">
        <f>IF(J316&lt;=10, "Baixo", IF(J316&lt;=25, "Médio", "Alto"))</f>
        <v>Médio</v>
      </c>
      <c r="L316" s="5" t="s">
        <v>874</v>
      </c>
      <c r="M316" s="2">
        <v>20500</v>
      </c>
      <c r="N316" s="5" t="str">
        <f>IF(A316="Inativo", "Inativo", IF(A316="", "Negado", IF(COUNTIF(C:C, C316)&gt;1, "Negado", IF(AND(K316="Alto", L316="S"), "Negado", "Aprovado"))))</f>
        <v>Inativo</v>
      </c>
      <c r="O316" s="5" t="str">
        <f>IF(A316="Inativo", "Inativo", IF(A316="", "Negado", IF(COUNTIF(C:C, C316)&gt;1, "Negado", IF(AND(I316&gt;50000, L316="S"), "Negado", "Aprovado"))))</f>
        <v>Inativo</v>
      </c>
      <c r="P316" s="2">
        <f>IF(OR(N316="Negado", O316="Negado", A316="", L316=""), 0, IF(A316="Ativo", M316*0.08, 0))</f>
        <v>0</v>
      </c>
    </row>
    <row r="317" spans="1:16">
      <c r="A317" s="5" t="s">
        <v>77</v>
      </c>
      <c r="B317" s="47" t="s">
        <v>444</v>
      </c>
      <c r="C317" s="47" t="s">
        <v>445</v>
      </c>
      <c r="D317" s="5">
        <v>63</v>
      </c>
      <c r="E317" s="8">
        <v>23119</v>
      </c>
      <c r="F317" t="s">
        <v>75</v>
      </c>
      <c r="G317" t="s">
        <v>76</v>
      </c>
      <c r="H317" s="9">
        <v>9300</v>
      </c>
      <c r="I317" s="9">
        <v>48500</v>
      </c>
      <c r="J317" s="5">
        <v>28</v>
      </c>
      <c r="K317" s="5" t="str">
        <f>IF(J317&lt;=10, "Baixo", IF(J317&lt;=25, "Médio", "Alto"))</f>
        <v>Alto</v>
      </c>
      <c r="L317" s="5" t="s">
        <v>874</v>
      </c>
      <c r="M317" s="2">
        <v>20000</v>
      </c>
      <c r="N317" s="5" t="str">
        <f>IF(A317="Inativo", "Inativo", IF(A317="", "Negado", IF(COUNTIF(C:C, C317)&gt;1, "Negado", IF(AND(K317="Alto", L317="S"), "Negado", "Aprovado"))))</f>
        <v>Inativo</v>
      </c>
      <c r="O317" s="5" t="str">
        <f>IF(A317="Inativo", "Inativo", IF(A317="", "Negado", IF(COUNTIF(C:C, C317)&gt;1, "Negado", IF(AND(I317&gt;50000, L317="S"), "Negado", "Aprovado"))))</f>
        <v>Inativo</v>
      </c>
      <c r="P317" s="2">
        <f>IF(OR(N317="Negado", O317="Negado", A317="", L317=""), 0, IF(A317="Ativo", M317*0.08, 0))</f>
        <v>0</v>
      </c>
    </row>
    <row r="318" spans="1:16">
      <c r="A318" s="5" t="s">
        <v>77</v>
      </c>
      <c r="B318" s="47" t="s">
        <v>816</v>
      </c>
      <c r="C318" s="47" t="s">
        <v>986</v>
      </c>
      <c r="D318" s="5">
        <v>55</v>
      </c>
      <c r="E318" s="8">
        <v>26075</v>
      </c>
      <c r="F318" t="s">
        <v>75</v>
      </c>
      <c r="G318" t="s">
        <v>76</v>
      </c>
      <c r="H318" s="9">
        <v>21100</v>
      </c>
      <c r="I318" s="9">
        <v>67500</v>
      </c>
      <c r="J318" s="5">
        <v>15</v>
      </c>
      <c r="K318" s="5" t="str">
        <f>IF(J318&lt;=10, "Baixo", IF(J318&lt;=25, "Médio", "Alto"))</f>
        <v>Médio</v>
      </c>
      <c r="L318" s="5" t="s">
        <v>874</v>
      </c>
      <c r="M318" s="2">
        <v>20000</v>
      </c>
      <c r="N318" s="5" t="str">
        <f>IF(A318="Inativo", "Inativo", IF(A318="", "Negado", IF(COUNTIF(C:C, C318)&gt;1, "Negado", IF(AND(K318="Alto", L318="S"), "Negado", "Aprovado"))))</f>
        <v>Inativo</v>
      </c>
      <c r="O318" s="5" t="str">
        <f>IF(A318="Inativo", "Inativo", IF(A318="", "Negado", IF(COUNTIF(C:C, C318)&gt;1, "Negado", IF(AND(I318&gt;50000, L318="S"), "Negado", "Aprovado"))))</f>
        <v>Inativo</v>
      </c>
      <c r="P318" s="2">
        <f>IF(OR(N318="Negado", O318="Negado", A318="", L318=""), 0, IF(A318="Ativo", M318*0.08, 0))</f>
        <v>0</v>
      </c>
    </row>
    <row r="319" spans="1:16">
      <c r="A319" s="5" t="s">
        <v>77</v>
      </c>
      <c r="B319" s="47" t="s">
        <v>596</v>
      </c>
      <c r="C319" s="47" t="s">
        <v>956</v>
      </c>
      <c r="D319" s="5">
        <v>57</v>
      </c>
      <c r="E319" s="8">
        <v>25206</v>
      </c>
      <c r="F319" t="s">
        <v>133</v>
      </c>
      <c r="G319" t="s">
        <v>134</v>
      </c>
      <c r="H319" s="9">
        <v>3400</v>
      </c>
      <c r="I319" s="9">
        <v>0</v>
      </c>
      <c r="J319" s="5">
        <v>20</v>
      </c>
      <c r="K319" s="5" t="str">
        <f>IF(J319&lt;=10, "Baixo", IF(J319&lt;=25, "Médio", "Alto"))</f>
        <v>Médio</v>
      </c>
      <c r="L319" s="5" t="s">
        <v>874</v>
      </c>
      <c r="M319" s="2">
        <v>19500</v>
      </c>
      <c r="N319" s="5" t="str">
        <f>IF(A319="Inativo", "Inativo", IF(A319="", "Negado", IF(COUNTIF(C:C, C319)&gt;1, "Negado", IF(AND(K319="Alto", L319="S"), "Negado", "Aprovado"))))</f>
        <v>Inativo</v>
      </c>
      <c r="O319" s="5" t="str">
        <f>IF(A319="Inativo", "Inativo", IF(A319="", "Negado", IF(COUNTIF(C:C, C319)&gt;1, "Negado", IF(AND(I319&gt;50000, L319="S"), "Negado", "Aprovado"))))</f>
        <v>Inativo</v>
      </c>
      <c r="P319" s="2">
        <f>IF(OR(N319="Negado", O319="Negado", A319="", L319=""), 0, IF(A319="Ativo", M319*0.08, 0))</f>
        <v>0</v>
      </c>
    </row>
    <row r="320" spans="1:16">
      <c r="A320" s="5" t="s">
        <v>72</v>
      </c>
      <c r="B320" s="47" t="s">
        <v>601</v>
      </c>
      <c r="C320" s="47" t="s">
        <v>987</v>
      </c>
      <c r="D320" s="5">
        <v>62</v>
      </c>
      <c r="E320" s="8">
        <v>23278</v>
      </c>
      <c r="F320" t="s">
        <v>136</v>
      </c>
      <c r="G320" t="s">
        <v>137</v>
      </c>
      <c r="H320" s="9">
        <v>17000</v>
      </c>
      <c r="I320" s="9">
        <v>64000</v>
      </c>
      <c r="J320" s="5">
        <v>21</v>
      </c>
      <c r="K320" s="5" t="str">
        <f>IF(J320&lt;=10, "Baixo", IF(J320&lt;=25, "Médio", "Alto"))</f>
        <v>Médio</v>
      </c>
      <c r="L320" s="5" t="s">
        <v>876</v>
      </c>
      <c r="M320" s="2">
        <v>19000</v>
      </c>
      <c r="N320" s="5" t="str">
        <f>IF(A320="Inativo", "Inativo", IF(A320="", "Negado", IF(COUNTIF(C:C, C320)&gt;1, "Negado", IF(AND(K320="Alto", L320="S"), "Negado", "Aprovado"))))</f>
        <v>Aprovado</v>
      </c>
      <c r="O320" s="5" t="str">
        <f>IF(A320="Inativo", "Inativo", IF(A320="", "Negado", IF(COUNTIF(C:C, C320)&gt;1, "Negado", IF(AND(I320&gt;50000, L320="S"), "Negado", "Aprovado"))))</f>
        <v>Negado</v>
      </c>
      <c r="P320" s="2">
        <f>IF(OR(N320="Negado", O320="Negado", A320="", L320=""), 0, IF(A320="Ativo", M320*0.08, 0))</f>
        <v>0</v>
      </c>
    </row>
    <row r="321" spans="1:16">
      <c r="A321" s="5" t="s">
        <v>72</v>
      </c>
      <c r="B321" s="47" t="s">
        <v>608</v>
      </c>
      <c r="C321" s="47" t="s">
        <v>609</v>
      </c>
      <c r="D321" s="5">
        <v>53</v>
      </c>
      <c r="E321" s="8">
        <v>26620</v>
      </c>
      <c r="F321" t="s">
        <v>75</v>
      </c>
      <c r="G321" t="s">
        <v>76</v>
      </c>
      <c r="H321" s="9">
        <v>21300</v>
      </c>
      <c r="I321" s="9">
        <v>79500</v>
      </c>
      <c r="J321" s="5">
        <v>18</v>
      </c>
      <c r="K321" s="5" t="str">
        <f>IF(J321&lt;=10, "Baixo", IF(J321&lt;=25, "Médio", "Alto"))</f>
        <v>Médio</v>
      </c>
      <c r="L321" s="5" t="s">
        <v>874</v>
      </c>
      <c r="M321" s="2">
        <v>19000</v>
      </c>
      <c r="N321" s="5" t="str">
        <f>IF(A321="Inativo", "Inativo", IF(A321="", "Negado", IF(COUNTIF(C:C, C321)&gt;1, "Negado", IF(AND(K321="Alto", L321="S"), "Negado", "Aprovado"))))</f>
        <v>Aprovado</v>
      </c>
      <c r="O321" s="5" t="str">
        <f>IF(A321="Inativo", "Inativo", IF(A321="", "Negado", IF(COUNTIF(C:C, C321)&gt;1, "Negado", IF(AND(I321&gt;50000, L321="S"), "Negado", "Aprovado"))))</f>
        <v>Aprovado</v>
      </c>
      <c r="P321" s="2">
        <f>IF(OR(N321="Negado", O321="Negado", A321="", L321=""), 0, IF(A321="Ativo", M321*0.08, 0))</f>
        <v>1520</v>
      </c>
    </row>
    <row r="322" spans="1:16">
      <c r="A322" s="5" t="s">
        <v>72</v>
      </c>
      <c r="B322" s="47" t="s">
        <v>988</v>
      </c>
      <c r="C322" s="47" t="s">
        <v>360</v>
      </c>
      <c r="D322" s="5">
        <v>31</v>
      </c>
      <c r="E322" s="8">
        <v>34852</v>
      </c>
      <c r="F322" t="s">
        <v>157</v>
      </c>
      <c r="G322" s="1" t="s">
        <v>137</v>
      </c>
      <c r="H322" s="9">
        <v>20500</v>
      </c>
      <c r="I322" s="9">
        <v>47500</v>
      </c>
      <c r="J322" s="5">
        <v>11</v>
      </c>
      <c r="K322" s="5" t="str">
        <f>IF(J322&lt;=10, "Baixo", IF(J322&lt;=25, "Médio", "Alto"))</f>
        <v>Médio</v>
      </c>
      <c r="L322" s="5" t="s">
        <v>874</v>
      </c>
      <c r="M322" s="2">
        <v>18500</v>
      </c>
      <c r="N322" s="5" t="str">
        <f>IF(A322="Inativo", "Inativo", IF(A322="", "Negado", IF(COUNTIF(C:C, C322)&gt;1, "Negado", IF(AND(K322="Alto", L322="S"), "Negado", "Aprovado"))))</f>
        <v>Aprovado</v>
      </c>
      <c r="O322" s="5" t="str">
        <f>IF(A322="Inativo", "Inativo", IF(A322="", "Negado", IF(COUNTIF(C:C, C322)&gt;1, "Negado", IF(AND(I322&gt;50000, L322="S"), "Negado", "Aprovado"))))</f>
        <v>Aprovado</v>
      </c>
      <c r="P322" s="2">
        <f>IF(OR(N322="Negado", O322="Negado", A322="", L322=""), 0, IF(A322="Ativo", M322*0.08, 0))</f>
        <v>1480</v>
      </c>
    </row>
    <row r="323" spans="1:16">
      <c r="A323" s="5" t="s">
        <v>72</v>
      </c>
      <c r="B323" s="47" t="s">
        <v>364</v>
      </c>
      <c r="C323" s="47" t="s">
        <v>989</v>
      </c>
      <c r="D323" s="5">
        <v>26</v>
      </c>
      <c r="E323" s="8">
        <v>36518</v>
      </c>
      <c r="F323" t="s">
        <v>149</v>
      </c>
      <c r="G323" t="s">
        <v>137</v>
      </c>
      <c r="H323" s="9">
        <v>5000</v>
      </c>
      <c r="I323" s="9">
        <v>61500</v>
      </c>
      <c r="J323" s="5">
        <v>35</v>
      </c>
      <c r="K323" s="5" t="str">
        <f>IF(J323&lt;=10, "Baixo", IF(J323&lt;=25, "Médio", "Alto"))</f>
        <v>Alto</v>
      </c>
      <c r="L323" s="5" t="s">
        <v>874</v>
      </c>
      <c r="M323" s="2">
        <v>18500</v>
      </c>
      <c r="N323" s="5" t="str">
        <f>IF(A323="Inativo", "Inativo", IF(A323="", "Negado", IF(COUNTIF(C:C, C323)&gt;1, "Negado", IF(AND(K323="Alto", L323="S"), "Negado", "Aprovado"))))</f>
        <v>Aprovado</v>
      </c>
      <c r="O323" s="5" t="str">
        <f>IF(A323="Inativo", "Inativo", IF(A323="", "Negado", IF(COUNTIF(C:C, C323)&gt;1, "Negado", IF(AND(I323&gt;50000, L323="S"), "Negado", "Aprovado"))))</f>
        <v>Aprovado</v>
      </c>
      <c r="P323" s="2">
        <f>IF(OR(N323="Negado", O323="Negado", A323="", L323=""), 0, IF(A323="Ativo", M323*0.08, 0))</f>
        <v>1480</v>
      </c>
    </row>
    <row r="324" spans="1:16">
      <c r="A324" s="5" t="s">
        <v>72</v>
      </c>
      <c r="B324" s="47" t="s">
        <v>521</v>
      </c>
      <c r="C324" s="47" t="s">
        <v>522</v>
      </c>
      <c r="D324" s="5">
        <v>37</v>
      </c>
      <c r="E324" s="8">
        <v>32414</v>
      </c>
      <c r="F324" t="s">
        <v>84</v>
      </c>
      <c r="G324" s="1" t="s">
        <v>411</v>
      </c>
      <c r="H324" s="9">
        <v>12800</v>
      </c>
      <c r="I324" s="9">
        <v>76500</v>
      </c>
      <c r="J324" s="5">
        <v>30</v>
      </c>
      <c r="K324" s="5" t="str">
        <f>IF(J324&lt;=10, "Baixo", IF(J324&lt;=25, "Médio", "Alto"))</f>
        <v>Alto</v>
      </c>
      <c r="L324" s="5" t="s">
        <v>874</v>
      </c>
      <c r="M324" s="2">
        <v>18500</v>
      </c>
      <c r="N324" s="5" t="str">
        <f>IF(A324="Inativo", "Inativo", IF(A324="", "Negado", IF(COUNTIF(C:C, C324)&gt;1, "Negado", IF(AND(K324="Alto", L324="S"), "Negado", "Aprovado"))))</f>
        <v>Negado</v>
      </c>
      <c r="O324" s="5" t="str">
        <f>IF(A324="Inativo", "Inativo", IF(A324="", "Negado", IF(COUNTIF(C:C, C324)&gt;1, "Negado", IF(AND(I324&gt;50000, L324="S"), "Negado", "Aprovado"))))</f>
        <v>Negado</v>
      </c>
      <c r="P324" s="2">
        <f>IF(OR(N324="Negado", O324="Negado", A324="", L324=""), 0, IF(A324="Ativo", M324*0.08, 0))</f>
        <v>0</v>
      </c>
    </row>
    <row r="325" spans="1:16">
      <c r="A325" s="5" t="s">
        <v>72</v>
      </c>
      <c r="B325" s="47" t="s">
        <v>155</v>
      </c>
      <c r="C325" s="47" t="s">
        <v>156</v>
      </c>
      <c r="D325" s="5">
        <v>68</v>
      </c>
      <c r="E325" s="8">
        <v>21145</v>
      </c>
      <c r="F325" t="s">
        <v>157</v>
      </c>
      <c r="G325" t="s">
        <v>137</v>
      </c>
      <c r="H325" s="9">
        <v>29000</v>
      </c>
      <c r="I325" s="9">
        <v>67500</v>
      </c>
      <c r="J325" s="5">
        <v>25</v>
      </c>
      <c r="K325" s="5" t="str">
        <f>IF(J325&lt;=10, "Baixo", IF(J325&lt;=25, "Médio", "Alto"))</f>
        <v>Médio</v>
      </c>
      <c r="L325" s="5" t="s">
        <v>874</v>
      </c>
      <c r="M325" s="2">
        <v>18000</v>
      </c>
      <c r="N325" s="5" t="str">
        <f>IF(A325="Inativo", "Inativo", IF(A325="", "Negado", IF(COUNTIF(C:C, C325)&gt;1, "Negado", IF(AND(K325="Alto", L325="S"), "Negado", "Aprovado"))))</f>
        <v>Aprovado</v>
      </c>
      <c r="O325" s="5" t="str">
        <f>IF(A325="Inativo", "Inativo", IF(A325="", "Negado", IF(COUNTIF(C:C, C325)&gt;1, "Negado", IF(AND(I325&gt;50000, L325="S"), "Negado", "Aprovado"))))</f>
        <v>Aprovado</v>
      </c>
      <c r="P325" s="2">
        <f>IF(OR(N325="Negado", O325="Negado", A325="", L325=""), 0, IF(A325="Ativo", M325*0.08, 0))</f>
        <v>1440</v>
      </c>
    </row>
    <row r="326" spans="1:16">
      <c r="A326" s="5" t="s">
        <v>72</v>
      </c>
      <c r="B326" s="47" t="s">
        <v>367</v>
      </c>
      <c r="C326" s="47" t="s">
        <v>368</v>
      </c>
      <c r="D326" s="5">
        <v>51</v>
      </c>
      <c r="E326" s="8">
        <v>27413</v>
      </c>
      <c r="F326" t="s">
        <v>157</v>
      </c>
      <c r="G326" t="s">
        <v>137</v>
      </c>
      <c r="H326" s="9">
        <v>18500</v>
      </c>
      <c r="I326" s="9">
        <v>69500</v>
      </c>
      <c r="J326" s="5">
        <v>31</v>
      </c>
      <c r="K326" s="5" t="str">
        <f>IF(J326&lt;=10, "Baixo", IF(J326&lt;=25, "Médio", "Alto"))</f>
        <v>Alto</v>
      </c>
      <c r="L326" s="5" t="s">
        <v>874</v>
      </c>
      <c r="M326" s="2">
        <v>18000</v>
      </c>
      <c r="N326" s="5" t="str">
        <f>IF(A326="Inativo", "Inativo", IF(A326="", "Negado", IF(COUNTIF(C:C, C326)&gt;1, "Negado", IF(AND(K326="Alto", L326="S"), "Negado", "Aprovado"))))</f>
        <v>Aprovado</v>
      </c>
      <c r="O326" s="5" t="str">
        <f>IF(A326="Inativo", "Inativo", IF(A326="", "Negado", IF(COUNTIF(C:C, C326)&gt;1, "Negado", IF(AND(I326&gt;50000, L326="S"), "Negado", "Aprovado"))))</f>
        <v>Aprovado</v>
      </c>
      <c r="P326" s="2">
        <f>IF(OR(N326="Negado", O326="Negado", A326="", L326=""), 0, IF(A326="Ativo", M326*0.08, 0))</f>
        <v>1440</v>
      </c>
    </row>
    <row r="327" spans="1:16">
      <c r="A327" s="5" t="s">
        <v>72</v>
      </c>
      <c r="B327" s="47" t="s">
        <v>551</v>
      </c>
      <c r="C327" s="47" t="s">
        <v>552</v>
      </c>
      <c r="D327" s="5">
        <v>35</v>
      </c>
      <c r="E327" s="8">
        <v>33336</v>
      </c>
      <c r="F327" t="s">
        <v>75</v>
      </c>
      <c r="G327" t="s">
        <v>76</v>
      </c>
      <c r="H327" s="9">
        <v>20900</v>
      </c>
      <c r="I327" s="9">
        <v>54000</v>
      </c>
      <c r="J327" s="5">
        <v>44</v>
      </c>
      <c r="K327" s="5" t="str">
        <f>IF(J327&lt;=10, "Baixo", IF(J327&lt;=25, "Médio", "Alto"))</f>
        <v>Alto</v>
      </c>
      <c r="L327" s="5" t="s">
        <v>874</v>
      </c>
      <c r="M327" s="2">
        <v>18000</v>
      </c>
      <c r="N327" s="5" t="str">
        <f>IF(A327="Inativo", "Inativo", IF(A327="", "Negado", IF(COUNTIF(C:C, C327)&gt;1, "Negado", IF(AND(K327="Alto", L327="S"), "Negado", "Aprovado"))))</f>
        <v>Aprovado</v>
      </c>
      <c r="O327" s="5" t="str">
        <f>IF(A327="Inativo", "Inativo", IF(A327="", "Negado", IF(COUNTIF(C:C, C327)&gt;1, "Negado", IF(AND(I327&gt;50000, L327="S"), "Negado", "Aprovado"))))</f>
        <v>Aprovado</v>
      </c>
      <c r="P327" s="2">
        <f>IF(OR(N327="Negado", O327="Negado", A327="", L327=""), 0, IF(A327="Ativo", M327*0.08, 0))</f>
        <v>1440</v>
      </c>
    </row>
    <row r="328" spans="1:16">
      <c r="A328" s="5" t="s">
        <v>72</v>
      </c>
      <c r="B328" s="47" t="s">
        <v>792</v>
      </c>
      <c r="C328" s="47" t="s">
        <v>793</v>
      </c>
      <c r="D328" s="5">
        <v>48</v>
      </c>
      <c r="E328" s="8">
        <v>28689</v>
      </c>
      <c r="F328" t="s">
        <v>79</v>
      </c>
      <c r="G328" t="s">
        <v>301</v>
      </c>
      <c r="H328" s="9">
        <v>18700</v>
      </c>
      <c r="I328" s="9">
        <v>11000</v>
      </c>
      <c r="J328" s="5">
        <v>28</v>
      </c>
      <c r="K328" s="5" t="str">
        <f>IF(J328&lt;=10, "Baixo", IF(J328&lt;=25, "Médio", "Alto"))</f>
        <v>Alto</v>
      </c>
      <c r="L328" s="5" t="s">
        <v>874</v>
      </c>
      <c r="M328" s="2">
        <v>18000</v>
      </c>
      <c r="N328" s="5" t="str">
        <f>IF(A328="Inativo", "Inativo", IF(A328="", "Negado", IF(COUNTIF(C:C, C328)&gt;1, "Negado", IF(AND(K328="Alto", L328="S"), "Negado", "Aprovado"))))</f>
        <v>Aprovado</v>
      </c>
      <c r="O328" s="5" t="str">
        <f>IF(A328="Inativo", "Inativo", IF(A328="", "Negado", IF(COUNTIF(C:C, C328)&gt;1, "Negado", IF(AND(I328&gt;50000, L328="S"), "Negado", "Aprovado"))))</f>
        <v>Aprovado</v>
      </c>
      <c r="P328" s="2">
        <f>IF(OR(N328="Negado", O328="Negado", A328="", L328=""), 0, IF(A328="Ativo", M328*0.08, 0))</f>
        <v>1440</v>
      </c>
    </row>
    <row r="329" spans="1:16">
      <c r="A329" s="5" t="s">
        <v>77</v>
      </c>
      <c r="B329" s="47" t="s">
        <v>796</v>
      </c>
      <c r="C329" s="47" t="s">
        <v>797</v>
      </c>
      <c r="D329" s="5">
        <v>31</v>
      </c>
      <c r="E329" s="8">
        <v>34824</v>
      </c>
      <c r="F329" t="s">
        <v>300</v>
      </c>
      <c r="G329" t="s">
        <v>301</v>
      </c>
      <c r="H329" s="9">
        <v>29500</v>
      </c>
      <c r="I329" s="9">
        <v>5000</v>
      </c>
      <c r="J329" s="5">
        <v>22</v>
      </c>
      <c r="K329" s="5" t="str">
        <f>IF(J329&lt;=10, "Baixo", IF(J329&lt;=25, "Médio", "Alto"))</f>
        <v>Médio</v>
      </c>
      <c r="L329" s="5" t="s">
        <v>874</v>
      </c>
      <c r="M329" s="2">
        <v>18000</v>
      </c>
      <c r="N329" s="5" t="str">
        <f>IF(A329="Inativo", "Inativo", IF(A329="", "Negado", IF(COUNTIF(C:C, C329)&gt;1, "Negado", IF(AND(K329="Alto", L329="S"), "Negado", "Aprovado"))))</f>
        <v>Inativo</v>
      </c>
      <c r="O329" s="5" t="str">
        <f>IF(A329="Inativo", "Inativo", IF(A329="", "Negado", IF(COUNTIF(C:C, C329)&gt;1, "Negado", IF(AND(I329&gt;50000, L329="S"), "Negado", "Aprovado"))))</f>
        <v>Inativo</v>
      </c>
      <c r="P329" s="2">
        <f>IF(OR(N329="Negado", O329="Negado", A329="", L329=""), 0, IF(A329="Ativo", M329*0.08, 0))</f>
        <v>0</v>
      </c>
    </row>
    <row r="330" spans="1:16">
      <c r="A330" s="5" t="s">
        <v>72</v>
      </c>
      <c r="B330" s="47" t="s">
        <v>330</v>
      </c>
      <c r="C330" s="47" t="s">
        <v>331</v>
      </c>
      <c r="D330" s="5">
        <v>60</v>
      </c>
      <c r="E330" s="8">
        <v>24082</v>
      </c>
      <c r="F330" t="s">
        <v>240</v>
      </c>
      <c r="G330" t="s">
        <v>453</v>
      </c>
      <c r="H330" s="9">
        <v>13800</v>
      </c>
      <c r="I330" s="9">
        <v>45500</v>
      </c>
      <c r="J330" s="5">
        <v>30</v>
      </c>
      <c r="K330" s="5" t="str">
        <f>IF(J330&lt;=10, "Baixo", IF(J330&lt;=25, "Médio", "Alto"))</f>
        <v>Alto</v>
      </c>
      <c r="L330" s="5" t="s">
        <v>874</v>
      </c>
      <c r="M330" s="2">
        <v>17500</v>
      </c>
      <c r="N330" s="5" t="str">
        <f>IF(A330="Inativo", "Inativo", IF(A330="", "Negado", IF(COUNTIF(C:C, C330)&gt;1, "Negado", IF(AND(K330="Alto", L330="S"), "Negado", "Aprovado"))))</f>
        <v>Aprovado</v>
      </c>
      <c r="O330" s="5" t="str">
        <f>IF(A330="Inativo", "Inativo", IF(A330="", "Negado", IF(COUNTIF(C:C, C330)&gt;1, "Negado", IF(AND(I330&gt;50000, L330="S"), "Negado", "Aprovado"))))</f>
        <v>Aprovado</v>
      </c>
      <c r="P330" s="2">
        <f>IF(OR(N330="Negado", O330="Negado", A330="", L330=""), 0, IF(A330="Ativo", M330*0.08, 0))</f>
        <v>1400</v>
      </c>
    </row>
    <row r="331" spans="1:16">
      <c r="A331" s="5" t="s">
        <v>72</v>
      </c>
      <c r="B331" s="47" t="s">
        <v>263</v>
      </c>
      <c r="C331" s="47" t="s">
        <v>264</v>
      </c>
      <c r="D331" s="5">
        <v>24</v>
      </c>
      <c r="E331" s="8">
        <v>37172</v>
      </c>
      <c r="F331" t="s">
        <v>75</v>
      </c>
      <c r="G331" t="s">
        <v>76</v>
      </c>
      <c r="H331" s="9">
        <v>21600</v>
      </c>
      <c r="I331" s="9">
        <v>25000</v>
      </c>
      <c r="J331" s="5">
        <v>33</v>
      </c>
      <c r="K331" s="5" t="str">
        <f>IF(J331&lt;=10, "Baixo", IF(J331&lt;=25, "Médio", "Alto"))</f>
        <v>Alto</v>
      </c>
      <c r="L331" s="5" t="s">
        <v>874</v>
      </c>
      <c r="M331" s="2">
        <v>17500</v>
      </c>
      <c r="N331" s="5" t="str">
        <f>IF(A331="Inativo", "Inativo", IF(A331="", "Negado", IF(COUNTIF(C:C, C331)&gt;1, "Negado", IF(AND(K331="Alto", L331="S"), "Negado", "Aprovado"))))</f>
        <v>Aprovado</v>
      </c>
      <c r="O331" s="5" t="str">
        <f>IF(A331="Inativo", "Inativo", IF(A331="", "Negado", IF(COUNTIF(C:C, C331)&gt;1, "Negado", IF(AND(I331&gt;50000, L331="S"), "Negado", "Aprovado"))))</f>
        <v>Aprovado</v>
      </c>
      <c r="P331" s="2">
        <f>IF(OR(N331="Negado", O331="Negado", A331="", L331=""), 0, IF(A331="Ativo", M331*0.08, 0))</f>
        <v>1400</v>
      </c>
    </row>
    <row r="332" spans="1:16">
      <c r="A332" s="5" t="s">
        <v>72</v>
      </c>
      <c r="B332" s="47" t="s">
        <v>111</v>
      </c>
      <c r="C332" s="47" t="s">
        <v>112</v>
      </c>
      <c r="D332" s="5">
        <v>34</v>
      </c>
      <c r="E332" s="8">
        <v>33624</v>
      </c>
      <c r="F332" t="s">
        <v>107</v>
      </c>
      <c r="G332" t="s">
        <v>108</v>
      </c>
      <c r="H332" s="9">
        <v>8000</v>
      </c>
      <c r="I332" s="9">
        <v>14500</v>
      </c>
      <c r="J332" s="5">
        <v>9</v>
      </c>
      <c r="K332" s="5" t="str">
        <f>IF(J332&lt;=10, "Baixo", IF(J332&lt;=25, "Médio", "Alto"))</f>
        <v>Baixo</v>
      </c>
      <c r="L332" s="5" t="s">
        <v>876</v>
      </c>
      <c r="M332" s="2">
        <v>17500</v>
      </c>
      <c r="N332" s="5" t="str">
        <f>IF(A332="Inativo", "Inativo", IF(A332="", "Negado", IF(COUNTIF(C:C, C332)&gt;1, "Negado", IF(AND(K332="Alto", L332="S"), "Negado", "Aprovado"))))</f>
        <v>Aprovado</v>
      </c>
      <c r="O332" s="5" t="str">
        <f>IF(A332="Inativo", "Inativo", IF(A332="", "Negado", IF(COUNTIF(C:C, C332)&gt;1, "Negado", IF(AND(I332&gt;50000, L332="S"), "Negado", "Aprovado"))))</f>
        <v>Aprovado</v>
      </c>
      <c r="P332" s="2">
        <f>IF(OR(N332="Negado", O332="Negado", A332="", L332=""), 0, IF(A332="Ativo", M332*0.08, 0))</f>
        <v>1400</v>
      </c>
    </row>
    <row r="333" spans="1:16">
      <c r="A333" s="5" t="s">
        <v>77</v>
      </c>
      <c r="B333" s="47" t="s">
        <v>249</v>
      </c>
      <c r="C333" s="47" t="s">
        <v>250</v>
      </c>
      <c r="D333" s="5">
        <v>38</v>
      </c>
      <c r="E333" s="8">
        <v>32102</v>
      </c>
      <c r="F333" t="s">
        <v>107</v>
      </c>
      <c r="G333" t="s">
        <v>108</v>
      </c>
      <c r="H333" s="9">
        <v>13500</v>
      </c>
      <c r="I333" s="9">
        <v>24000</v>
      </c>
      <c r="J333" s="5">
        <v>2</v>
      </c>
      <c r="K333" s="5" t="str">
        <f>IF(J333&lt;=10, "Baixo", IF(J333&lt;=25, "Médio", "Alto"))</f>
        <v>Baixo</v>
      </c>
      <c r="L333" s="5" t="s">
        <v>874</v>
      </c>
      <c r="M333" s="2">
        <v>17500</v>
      </c>
      <c r="N333" s="5" t="str">
        <f>IF(A333="Inativo", "Inativo", IF(A333="", "Negado", IF(COUNTIF(C:C, C333)&gt;1, "Negado", IF(AND(K333="Alto", L333="S"), "Negado", "Aprovado"))))</f>
        <v>Inativo</v>
      </c>
      <c r="O333" s="5" t="str">
        <f>IF(A333="Inativo", "Inativo", IF(A333="", "Negado", IF(COUNTIF(C:C, C333)&gt;1, "Negado", IF(AND(I333&gt;50000, L333="S"), "Negado", "Aprovado"))))</f>
        <v>Inativo</v>
      </c>
      <c r="P333" s="2">
        <f>IF(OR(N333="Negado", O333="Negado", A333="", L333=""), 0, IF(A333="Ativo", M333*0.08, 0))</f>
        <v>0</v>
      </c>
    </row>
    <row r="334" spans="1:16">
      <c r="A334" s="5" t="s">
        <v>72</v>
      </c>
      <c r="B334" s="47" t="s">
        <v>842</v>
      </c>
      <c r="C334" s="47" t="s">
        <v>990</v>
      </c>
      <c r="D334" s="5">
        <v>35</v>
      </c>
      <c r="E334" s="8">
        <v>33417</v>
      </c>
      <c r="F334" t="s">
        <v>133</v>
      </c>
      <c r="G334" t="s">
        <v>134</v>
      </c>
      <c r="H334" s="9">
        <v>23100</v>
      </c>
      <c r="I334" s="9">
        <v>55000</v>
      </c>
      <c r="J334" s="5">
        <v>9</v>
      </c>
      <c r="K334" s="5" t="str">
        <f>IF(J334&lt;=10, "Baixo", IF(J334&lt;=25, "Médio", "Alto"))</f>
        <v>Baixo</v>
      </c>
      <c r="L334" s="5" t="s">
        <v>874</v>
      </c>
      <c r="M334" s="2">
        <v>17000</v>
      </c>
      <c r="N334" s="5" t="str">
        <f>IF(A334="Inativo", "Inativo", IF(A334="", "Negado", IF(COUNTIF(C:C, C334)&gt;1, "Negado", IF(AND(K334="Alto", L334="S"), "Negado", "Aprovado"))))</f>
        <v>Aprovado</v>
      </c>
      <c r="O334" s="5" t="str">
        <f>IF(A334="Inativo", "Inativo", IF(A334="", "Negado", IF(COUNTIF(C:C, C334)&gt;1, "Negado", IF(AND(I334&gt;50000, L334="S"), "Negado", "Aprovado"))))</f>
        <v>Aprovado</v>
      </c>
      <c r="P334" s="2">
        <f>IF(OR(N334="Negado", O334="Negado", A334="", L334=""), 0, IF(A334="Ativo", M334*0.08, 0))</f>
        <v>1360</v>
      </c>
    </row>
    <row r="335" spans="1:16">
      <c r="A335" s="5" t="s">
        <v>72</v>
      </c>
      <c r="B335" s="47" t="s">
        <v>439</v>
      </c>
      <c r="C335" s="47" t="s">
        <v>440</v>
      </c>
      <c r="D335" s="5">
        <v>73</v>
      </c>
      <c r="E335" s="8">
        <v>19363</v>
      </c>
      <c r="F335" t="s">
        <v>168</v>
      </c>
      <c r="G335" t="s">
        <v>144</v>
      </c>
      <c r="H335" s="9">
        <v>23000</v>
      </c>
      <c r="I335" s="9">
        <v>19000</v>
      </c>
      <c r="J335" s="5">
        <v>0</v>
      </c>
      <c r="K335" s="5" t="str">
        <f>IF(J335&lt;=10, "Baixo", IF(J335&lt;=25, "Médio", "Alto"))</f>
        <v>Baixo</v>
      </c>
      <c r="L335" s="5" t="s">
        <v>874</v>
      </c>
      <c r="M335" s="2">
        <v>17000</v>
      </c>
      <c r="N335" s="5" t="str">
        <f>IF(A335="Inativo", "Inativo", IF(A335="", "Negado", IF(COUNTIF(C:C, C335)&gt;1, "Negado", IF(AND(K335="Alto", L335="S"), "Negado", "Aprovado"))))</f>
        <v>Aprovado</v>
      </c>
      <c r="O335" s="5" t="str">
        <f>IF(A335="Inativo", "Inativo", IF(A335="", "Negado", IF(COUNTIF(C:C, C335)&gt;1, "Negado", IF(AND(I335&gt;50000, L335="S"), "Negado", "Aprovado"))))</f>
        <v>Aprovado</v>
      </c>
      <c r="P335" s="2">
        <f>IF(OR(N335="Negado", O335="Negado", A335="", L335=""), 0, IF(A335="Ativo", M335*0.08, 0))</f>
        <v>1360</v>
      </c>
    </row>
    <row r="336" spans="1:16">
      <c r="A336" s="5" t="s">
        <v>72</v>
      </c>
      <c r="B336" s="47" t="s">
        <v>543</v>
      </c>
      <c r="C336" s="47" t="s">
        <v>991</v>
      </c>
      <c r="D336" s="5">
        <v>42</v>
      </c>
      <c r="E336" s="8">
        <v>30724</v>
      </c>
      <c r="F336" t="s">
        <v>149</v>
      </c>
      <c r="G336" t="s">
        <v>137</v>
      </c>
      <c r="H336" s="9">
        <v>18500</v>
      </c>
      <c r="I336" s="9">
        <v>59000</v>
      </c>
      <c r="J336" s="5">
        <v>44</v>
      </c>
      <c r="K336" s="5" t="str">
        <f>IF(J336&lt;=10, "Baixo", IF(J336&lt;=25, "Médio", "Alto"))</f>
        <v>Alto</v>
      </c>
      <c r="L336" s="5" t="s">
        <v>874</v>
      </c>
      <c r="M336" s="2">
        <v>16500</v>
      </c>
      <c r="N336" s="5" t="str">
        <f>IF(A336="Inativo", "Inativo", IF(A336="", "Negado", IF(COUNTIF(C:C, C336)&gt;1, "Negado", IF(AND(K336="Alto", L336="S"), "Negado", "Aprovado"))))</f>
        <v>Aprovado</v>
      </c>
      <c r="O336" s="5" t="str">
        <f>IF(A336="Inativo", "Inativo", IF(A336="", "Negado", IF(COUNTIF(C:C, C336)&gt;1, "Negado", IF(AND(I336&gt;50000, L336="S"), "Negado", "Aprovado"))))</f>
        <v>Aprovado</v>
      </c>
      <c r="P336" s="2">
        <f>IF(OR(N336="Negado", O336="Negado", A336="", L336=""), 0, IF(A336="Ativo", M336*0.08, 0))</f>
        <v>1320</v>
      </c>
    </row>
    <row r="337" spans="1:16">
      <c r="A337" s="5" t="s">
        <v>72</v>
      </c>
      <c r="B337" s="47" t="s">
        <v>211</v>
      </c>
      <c r="C337" s="47" t="s">
        <v>992</v>
      </c>
      <c r="D337" s="5">
        <v>37</v>
      </c>
      <c r="E337" s="8">
        <v>32513</v>
      </c>
      <c r="F337" t="s">
        <v>212</v>
      </c>
      <c r="G337" t="s">
        <v>144</v>
      </c>
      <c r="H337" s="9">
        <v>2600</v>
      </c>
      <c r="I337" s="9">
        <v>0</v>
      </c>
      <c r="J337" s="5">
        <v>5</v>
      </c>
      <c r="K337" s="5" t="str">
        <f>IF(J337&lt;=10, "Baixo", IF(J337&lt;=25, "Médio", "Alto"))</f>
        <v>Baixo</v>
      </c>
      <c r="L337" s="5" t="s">
        <v>874</v>
      </c>
      <c r="M337" s="2">
        <v>16500</v>
      </c>
      <c r="N337" s="5" t="str">
        <f>IF(A337="Inativo", "Inativo", IF(A337="", "Negado", IF(COUNTIF(C:C, C337)&gt;1, "Negado", IF(AND(K337="Alto", L337="S"), "Negado", "Aprovado"))))</f>
        <v>Aprovado</v>
      </c>
      <c r="O337" s="5" t="str">
        <f>IF(A337="Inativo", "Inativo", IF(A337="", "Negado", IF(COUNTIF(C:C, C337)&gt;1, "Negado", IF(AND(I337&gt;50000, L337="S"), "Negado", "Aprovado"))))</f>
        <v>Aprovado</v>
      </c>
      <c r="P337" s="2">
        <f>IF(OR(N337="Negado", O337="Negado", A337="", L337=""), 0, IF(A337="Ativo", M337*0.08, 0))</f>
        <v>1320</v>
      </c>
    </row>
    <row r="338" spans="1:16">
      <c r="A338" s="5" t="s">
        <v>72</v>
      </c>
      <c r="B338" s="47" t="s">
        <v>785</v>
      </c>
      <c r="C338" s="47" t="s">
        <v>786</v>
      </c>
      <c r="D338" s="5">
        <v>43</v>
      </c>
      <c r="E338" s="8">
        <v>30437</v>
      </c>
      <c r="F338" t="s">
        <v>220</v>
      </c>
      <c r="G338" t="s">
        <v>411</v>
      </c>
      <c r="H338" s="9">
        <v>14600</v>
      </c>
      <c r="I338" s="9">
        <v>18500</v>
      </c>
      <c r="J338" s="5">
        <v>22</v>
      </c>
      <c r="K338" s="5" t="str">
        <f>IF(J338&lt;=10, "Baixo", IF(J338&lt;=25, "Médio", "Alto"))</f>
        <v>Médio</v>
      </c>
      <c r="L338" s="5" t="s">
        <v>876</v>
      </c>
      <c r="M338" s="2">
        <v>16500</v>
      </c>
      <c r="N338" s="5" t="str">
        <f>IF(A338="Inativo", "Inativo", IF(A338="", "Negado", IF(COUNTIF(C:C, C338)&gt;1, "Negado", IF(AND(K338="Alto", L338="S"), "Negado", "Aprovado"))))</f>
        <v>Aprovado</v>
      </c>
      <c r="O338" s="5" t="str">
        <f>IF(A338="Inativo", "Inativo", IF(A338="", "Negado", IF(COUNTIF(C:C, C338)&gt;1, "Negado", IF(AND(I338&gt;50000, L338="S"), "Negado", "Aprovado"))))</f>
        <v>Aprovado</v>
      </c>
      <c r="P338" s="2">
        <f>IF(OR(N338="Negado", O338="Negado", A338="", L338=""), 0, IF(A338="Ativo", M338*0.08, 0))</f>
        <v>1320</v>
      </c>
    </row>
    <row r="339" spans="1:16">
      <c r="A339" s="5" t="s">
        <v>72</v>
      </c>
      <c r="B339" s="47" t="s">
        <v>323</v>
      </c>
      <c r="C339" s="47" t="s">
        <v>324</v>
      </c>
      <c r="D339" s="5">
        <v>60</v>
      </c>
      <c r="E339" s="8">
        <v>24362</v>
      </c>
      <c r="F339" t="s">
        <v>165</v>
      </c>
      <c r="G339" t="s">
        <v>137</v>
      </c>
      <c r="H339" s="9">
        <v>18900</v>
      </c>
      <c r="I339" s="9">
        <v>1000</v>
      </c>
      <c r="J339" s="5">
        <v>42</v>
      </c>
      <c r="K339" s="5" t="str">
        <f>IF(J339&lt;=10, "Baixo", IF(J339&lt;=25, "Médio", "Alto"))</f>
        <v>Alto</v>
      </c>
      <c r="L339" s="5" t="s">
        <v>876</v>
      </c>
      <c r="M339" s="2">
        <v>16500</v>
      </c>
      <c r="N339" s="5" t="str">
        <f>IF(A339="Inativo", "Inativo", IF(A339="", "Negado", IF(COUNTIF(C:C, C339)&gt;1, "Negado", IF(AND(K339="Alto", L339="S"), "Negado", "Aprovado"))))</f>
        <v>Negado</v>
      </c>
      <c r="O339" s="5" t="str">
        <f>IF(A339="Inativo", "Inativo", IF(A339="", "Negado", IF(COUNTIF(C:C, C339)&gt;1, "Negado", IF(AND(I339&gt;50000, L339="S"), "Negado", "Aprovado"))))</f>
        <v>Aprovado</v>
      </c>
      <c r="P339" s="2">
        <f>IF(OR(N339="Negado", O339="Negado", A339="", L339=""), 0, IF(A339="Ativo", M339*0.08, 0))</f>
        <v>0</v>
      </c>
    </row>
    <row r="340" spans="1:16">
      <c r="B340" s="47" t="s">
        <v>449</v>
      </c>
      <c r="C340" s="47" t="s">
        <v>450</v>
      </c>
      <c r="D340" s="5">
        <v>61</v>
      </c>
      <c r="E340" s="8">
        <v>23813</v>
      </c>
      <c r="F340" t="s">
        <v>122</v>
      </c>
      <c r="G340" t="s">
        <v>117</v>
      </c>
      <c r="H340" s="9">
        <v>26300</v>
      </c>
      <c r="I340" s="9">
        <v>40000</v>
      </c>
      <c r="J340" s="5">
        <v>10</v>
      </c>
      <c r="K340" s="5" t="str">
        <f>IF(J340&lt;=10, "Baixo", IF(J340&lt;=25, "Médio", "Alto"))</f>
        <v>Baixo</v>
      </c>
      <c r="L340" s="5" t="s">
        <v>876</v>
      </c>
      <c r="M340" s="2">
        <v>16500</v>
      </c>
      <c r="N340" s="5" t="str">
        <f>IF(A340="Inativo", "Inativo", IF(A340="", "Negado", IF(COUNTIF(C:C, C340)&gt;1, "Negado", IF(AND(K340="Alto", L340="S"), "Negado", "Aprovado"))))</f>
        <v>Negado</v>
      </c>
      <c r="O340" s="5" t="str">
        <f>IF(A340="Inativo", "Inativo", IF(A340="", "Negado", IF(COUNTIF(C:C, C340)&gt;1, "Negado", IF(AND(I340&gt;50000, L340="S"), "Negado", "Aprovado"))))</f>
        <v>Negado</v>
      </c>
      <c r="P340" s="2">
        <f>IF(OR(N340="Negado", O340="Negado", A340="", L340=""), 0, IF(A340="Ativo", M340*0.08, 0))</f>
        <v>0</v>
      </c>
    </row>
    <row r="341" spans="1:16">
      <c r="A341" s="5" t="s">
        <v>72</v>
      </c>
      <c r="B341" s="47" t="s">
        <v>73</v>
      </c>
      <c r="C341" s="7" t="s">
        <v>74</v>
      </c>
      <c r="D341" s="5">
        <v>32</v>
      </c>
      <c r="E341" s="8">
        <v>34347</v>
      </c>
      <c r="F341" t="s">
        <v>75</v>
      </c>
      <c r="G341" t="s">
        <v>76</v>
      </c>
      <c r="H341" s="9">
        <v>15600</v>
      </c>
      <c r="I341" s="9">
        <v>0</v>
      </c>
      <c r="J341" s="5">
        <v>34</v>
      </c>
      <c r="K341" s="5" t="str">
        <f>IF(J341&lt;=10, "Baixo", IF(J341&lt;=25, "Médio", "Alto"))</f>
        <v>Alto</v>
      </c>
      <c r="L341" s="5" t="s">
        <v>876</v>
      </c>
      <c r="M341" s="2">
        <v>16000</v>
      </c>
      <c r="N341" s="5" t="str">
        <f>IF(A341="Inativo", "Inativo", IF(A341="", "Negado", IF(COUNTIF(C:C, C341)&gt;1, "Negado", IF(AND(K341="Alto", L341="S"), "Negado", "Aprovado"))))</f>
        <v>Negado</v>
      </c>
      <c r="O341" s="5" t="str">
        <f>IF(A341="Inativo", "Inativo", IF(A341="", "Negado", IF(COUNTIF(C:C, C341)&gt;1, "Negado", IF(AND(I341&gt;50000, L341="S"), "Negado", "Aprovado"))))</f>
        <v>Aprovado</v>
      </c>
      <c r="P341" s="2">
        <f>IF(OR(N341="Negado", O341="Negado", A341="", L341=""), 0, IF(A341="Ativo", M341*0.08, 0))</f>
        <v>0</v>
      </c>
    </row>
    <row r="342" spans="1:16">
      <c r="A342" s="5" t="s">
        <v>72</v>
      </c>
      <c r="B342" s="47" t="s">
        <v>681</v>
      </c>
      <c r="C342" s="47" t="s">
        <v>682</v>
      </c>
      <c r="D342" s="5">
        <v>52</v>
      </c>
      <c r="E342" s="8">
        <v>27088</v>
      </c>
      <c r="F342" t="s">
        <v>79</v>
      </c>
      <c r="G342" t="s">
        <v>301</v>
      </c>
      <c r="H342" s="9">
        <v>24900</v>
      </c>
      <c r="I342" s="9">
        <v>0</v>
      </c>
      <c r="J342" s="5">
        <v>24</v>
      </c>
      <c r="K342" s="5" t="str">
        <f>IF(J342&lt;=10, "Baixo", IF(J342&lt;=25, "Médio", "Alto"))</f>
        <v>Médio</v>
      </c>
      <c r="L342" s="5" t="s">
        <v>874</v>
      </c>
      <c r="M342" s="2">
        <v>16000</v>
      </c>
      <c r="N342" s="5" t="str">
        <f>IF(A342="Inativo", "Inativo", IF(A342="", "Negado", IF(COUNTIF(C:C, C342)&gt;1, "Negado", IF(AND(K342="Alto", L342="S"), "Negado", "Aprovado"))))</f>
        <v>Aprovado</v>
      </c>
      <c r="O342" s="5" t="str">
        <f>IF(A342="Inativo", "Inativo", IF(A342="", "Negado", IF(COUNTIF(C:C, C342)&gt;1, "Negado", IF(AND(I342&gt;50000, L342="S"), "Negado", "Aprovado"))))</f>
        <v>Aprovado</v>
      </c>
      <c r="P342" s="2">
        <f>IF(OR(N342="Negado", O342="Negado", A342="", L342=""), 0, IF(A342="Ativo", M342*0.08, 0))</f>
        <v>1280</v>
      </c>
    </row>
    <row r="343" spans="1:16">
      <c r="A343" s="5" t="s">
        <v>77</v>
      </c>
      <c r="B343" s="47" t="s">
        <v>531</v>
      </c>
      <c r="C343" s="47" t="s">
        <v>532</v>
      </c>
      <c r="D343" s="5">
        <v>58</v>
      </c>
      <c r="E343" s="8">
        <v>24872</v>
      </c>
      <c r="F343" t="s">
        <v>107</v>
      </c>
      <c r="G343" t="s">
        <v>108</v>
      </c>
      <c r="H343" s="9">
        <v>12500</v>
      </c>
      <c r="I343" s="9">
        <v>44500</v>
      </c>
      <c r="J343" s="5">
        <v>13</v>
      </c>
      <c r="K343" s="5" t="str">
        <f>IF(J343&lt;=10, "Baixo", IF(J343&lt;=25, "Médio", "Alto"))</f>
        <v>Médio</v>
      </c>
      <c r="L343" s="5" t="s">
        <v>874</v>
      </c>
      <c r="M343" s="2">
        <v>16000</v>
      </c>
      <c r="N343" s="5" t="str">
        <f>IF(A343="Inativo", "Inativo", IF(A343="", "Negado", IF(COUNTIF(C:C, C343)&gt;1, "Negado", IF(AND(K343="Alto", L343="S"), "Negado", "Aprovado"))))</f>
        <v>Inativo</v>
      </c>
      <c r="O343" s="5" t="str">
        <f>IF(A343="Inativo", "Inativo", IF(A343="", "Negado", IF(COUNTIF(C:C, C343)&gt;1, "Negado", IF(AND(I343&gt;50000, L343="S"), "Negado", "Aprovado"))))</f>
        <v>Inativo</v>
      </c>
      <c r="P343" s="2">
        <f>IF(OR(N343="Negado", O343="Negado", A343="", L343=""), 0, IF(A343="Ativo", M343*0.08, 0))</f>
        <v>0</v>
      </c>
    </row>
    <row r="344" spans="1:16">
      <c r="A344" s="5" t="s">
        <v>77</v>
      </c>
      <c r="B344" s="47" t="s">
        <v>795</v>
      </c>
      <c r="C344" s="47" t="s">
        <v>993</v>
      </c>
      <c r="D344" s="5">
        <v>53</v>
      </c>
      <c r="E344" s="8">
        <v>26744</v>
      </c>
      <c r="F344" t="s">
        <v>107</v>
      </c>
      <c r="G344" t="s">
        <v>108</v>
      </c>
      <c r="H344" s="9">
        <v>26400</v>
      </c>
      <c r="I344" s="9">
        <v>9500</v>
      </c>
      <c r="J344" s="5">
        <v>21</v>
      </c>
      <c r="K344" s="5" t="str">
        <f>IF(J344&lt;=10, "Baixo", IF(J344&lt;=25, "Médio", "Alto"))</f>
        <v>Médio</v>
      </c>
      <c r="L344" s="5" t="s">
        <v>874</v>
      </c>
      <c r="M344" s="2">
        <v>16000</v>
      </c>
      <c r="N344" s="5" t="str">
        <f>IF(A344="Inativo", "Inativo", IF(A344="", "Negado", IF(COUNTIF(C:C, C344)&gt;1, "Negado", IF(AND(K344="Alto", L344="S"), "Negado", "Aprovado"))))</f>
        <v>Inativo</v>
      </c>
      <c r="O344" s="5" t="str">
        <f>IF(A344="Inativo", "Inativo", IF(A344="", "Negado", IF(COUNTIF(C:C, C344)&gt;1, "Negado", IF(AND(I344&gt;50000, L344="S"), "Negado", "Aprovado"))))</f>
        <v>Inativo</v>
      </c>
      <c r="P344" s="2">
        <f>IF(OR(N344="Negado", O344="Negado", A344="", L344=""), 0, IF(A344="Ativo", M344*0.08, 0))</f>
        <v>0</v>
      </c>
    </row>
    <row r="345" spans="1:16">
      <c r="A345" s="5" t="s">
        <v>72</v>
      </c>
      <c r="B345" s="47" t="s">
        <v>422</v>
      </c>
      <c r="C345" s="47" t="s">
        <v>994</v>
      </c>
      <c r="D345" s="5">
        <v>65</v>
      </c>
      <c r="E345" s="8">
        <v>22337</v>
      </c>
      <c r="F345" t="s">
        <v>136</v>
      </c>
      <c r="G345" t="s">
        <v>137</v>
      </c>
      <c r="H345" s="9">
        <v>3800</v>
      </c>
      <c r="I345" s="9">
        <v>49500</v>
      </c>
      <c r="J345" s="5">
        <v>16</v>
      </c>
      <c r="K345" s="5" t="str">
        <f>IF(J345&lt;=10, "Baixo", IF(J345&lt;=25, "Médio", "Alto"))</f>
        <v>Médio</v>
      </c>
      <c r="L345" s="5" t="s">
        <v>874</v>
      </c>
      <c r="M345" s="2">
        <v>15500</v>
      </c>
      <c r="N345" s="5" t="str">
        <f>IF(A345="Inativo", "Inativo", IF(A345="", "Negado", IF(COUNTIF(C:C, C345)&gt;1, "Negado", IF(AND(K345="Alto", L345="S"), "Negado", "Aprovado"))))</f>
        <v>Aprovado</v>
      </c>
      <c r="O345" s="5" t="str">
        <f>IF(A345="Inativo", "Inativo", IF(A345="", "Negado", IF(COUNTIF(C:C, C345)&gt;1, "Negado", IF(AND(I345&gt;50000, L345="S"), "Negado", "Aprovado"))))</f>
        <v>Aprovado</v>
      </c>
      <c r="P345" s="2">
        <f>IF(OR(N345="Negado", O345="Negado", A345="", L345=""), 0, IF(A345="Ativo", M345*0.08, 0))</f>
        <v>1240</v>
      </c>
    </row>
    <row r="346" spans="1:16">
      <c r="A346" s="5" t="s">
        <v>72</v>
      </c>
      <c r="B346" s="47" t="s">
        <v>737</v>
      </c>
      <c r="C346" s="47" t="s">
        <v>995</v>
      </c>
      <c r="D346" s="5">
        <v>44</v>
      </c>
      <c r="E346" s="8">
        <v>29991</v>
      </c>
      <c r="F346" t="s">
        <v>220</v>
      </c>
      <c r="G346" t="s">
        <v>411</v>
      </c>
      <c r="H346" s="9">
        <v>6700</v>
      </c>
      <c r="I346" s="9">
        <v>16500</v>
      </c>
      <c r="J346" s="5">
        <v>38</v>
      </c>
      <c r="K346" s="5" t="str">
        <f>IF(J346&lt;=10, "Baixo", IF(J346&lt;=25, "Médio", "Alto"))</f>
        <v>Alto</v>
      </c>
      <c r="L346" s="5" t="s">
        <v>876</v>
      </c>
      <c r="M346" s="2">
        <v>15500</v>
      </c>
      <c r="N346" s="5" t="str">
        <f>IF(A346="Inativo", "Inativo", IF(A346="", "Negado", IF(COUNTIF(C:C, C346)&gt;1, "Negado", IF(AND(K346="Alto", L346="S"), "Negado", "Aprovado"))))</f>
        <v>Negado</v>
      </c>
      <c r="O346" s="5" t="str">
        <f>IF(A346="Inativo", "Inativo", IF(A346="", "Negado", IF(COUNTIF(C:C, C346)&gt;1, "Negado", IF(AND(I346&gt;50000, L346="S"), "Negado", "Aprovado"))))</f>
        <v>Aprovado</v>
      </c>
      <c r="P346" s="2">
        <f>IF(OR(N346="Negado", O346="Negado", A346="", L346=""), 0, IF(A346="Ativo", M346*0.08, 0))</f>
        <v>0</v>
      </c>
    </row>
    <row r="347" spans="1:16">
      <c r="A347" s="5" t="s">
        <v>72</v>
      </c>
      <c r="B347" s="47" t="s">
        <v>557</v>
      </c>
      <c r="C347" s="47" t="s">
        <v>558</v>
      </c>
      <c r="D347" s="5">
        <v>72</v>
      </c>
      <c r="E347" s="8">
        <v>19800</v>
      </c>
      <c r="F347" t="s">
        <v>133</v>
      </c>
      <c r="G347" t="s">
        <v>134</v>
      </c>
      <c r="H347" s="9">
        <v>24300</v>
      </c>
      <c r="I347" s="9">
        <v>13500</v>
      </c>
      <c r="J347" s="5">
        <v>33</v>
      </c>
      <c r="K347" s="5" t="str">
        <f>IF(J347&lt;=10, "Baixo", IF(J347&lt;=25, "Médio", "Alto"))</f>
        <v>Alto</v>
      </c>
      <c r="L347" s="5" t="s">
        <v>874</v>
      </c>
      <c r="M347" s="2">
        <v>14500</v>
      </c>
      <c r="N347" s="5" t="str">
        <f>IF(A347="Inativo", "Inativo", IF(A347="", "Negado", IF(COUNTIF(C:C, C347)&gt;1, "Negado", IF(AND(K347="Alto", L347="S"), "Negado", "Aprovado"))))</f>
        <v>Aprovado</v>
      </c>
      <c r="O347" s="5" t="str">
        <f>IF(A347="Inativo", "Inativo", IF(A347="", "Negado", IF(COUNTIF(C:C, C347)&gt;1, "Negado", IF(AND(I347&gt;50000, L347="S"), "Negado", "Aprovado"))))</f>
        <v>Aprovado</v>
      </c>
      <c r="P347" s="2">
        <f>IF(OR(N347="Negado", O347="Negado", A347="", L347=""), 0, IF(A347="Ativo", M347*0.08, 0))</f>
        <v>1160</v>
      </c>
    </row>
    <row r="348" spans="1:16">
      <c r="B348" s="47" t="s">
        <v>843</v>
      </c>
      <c r="C348" s="47" t="s">
        <v>996</v>
      </c>
      <c r="D348" s="5">
        <v>36</v>
      </c>
      <c r="E348" s="8">
        <v>32908</v>
      </c>
      <c r="F348" t="s">
        <v>240</v>
      </c>
      <c r="G348" s="1" t="s">
        <v>453</v>
      </c>
      <c r="H348" s="9">
        <v>9400</v>
      </c>
      <c r="I348" s="9">
        <v>0</v>
      </c>
      <c r="J348" s="5">
        <v>9</v>
      </c>
      <c r="K348" s="5" t="str">
        <f>IF(J348&lt;=10, "Baixo", IF(J348&lt;=25, "Médio", "Alto"))</f>
        <v>Baixo</v>
      </c>
      <c r="L348" s="5" t="s">
        <v>874</v>
      </c>
      <c r="M348" s="2">
        <v>14500</v>
      </c>
      <c r="N348" s="5" t="str">
        <f>IF(A348="Inativo", "Inativo", IF(A348="", "Negado", IF(COUNTIF(C:C, C348)&gt;1, "Negado", IF(AND(K348="Alto", L348="S"), "Negado", "Aprovado"))))</f>
        <v>Negado</v>
      </c>
      <c r="O348" s="5" t="str">
        <f>IF(A348="Inativo", "Inativo", IF(A348="", "Negado", IF(COUNTIF(C:C, C348)&gt;1, "Negado", IF(AND(I348&gt;50000, L348="S"), "Negado", "Aprovado"))))</f>
        <v>Negado</v>
      </c>
      <c r="P348" s="2">
        <f>IF(OR(N348="Negado", O348="Negado", A348="", L348=""), 0, IF(A348="Ativo", M348*0.08, 0))</f>
        <v>0</v>
      </c>
    </row>
    <row r="349" spans="1:16">
      <c r="A349" s="5" t="s">
        <v>72</v>
      </c>
      <c r="B349" s="47" t="s">
        <v>678</v>
      </c>
      <c r="C349" s="47" t="s">
        <v>679</v>
      </c>
      <c r="D349" s="5">
        <v>25</v>
      </c>
      <c r="E349" s="8">
        <v>37118</v>
      </c>
      <c r="F349" t="s">
        <v>168</v>
      </c>
      <c r="G349" t="s">
        <v>144</v>
      </c>
      <c r="H349" s="9">
        <v>27300</v>
      </c>
      <c r="I349" s="9">
        <v>1500</v>
      </c>
      <c r="J349" s="5">
        <v>33</v>
      </c>
      <c r="K349" s="5" t="str">
        <f>IF(J349&lt;=10, "Baixo", IF(J349&lt;=25, "Médio", "Alto"))</f>
        <v>Alto</v>
      </c>
      <c r="L349" s="5" t="s">
        <v>876</v>
      </c>
      <c r="M349" s="2">
        <v>14000</v>
      </c>
      <c r="N349" s="5" t="str">
        <f>IF(A349="Inativo", "Inativo", IF(A349="", "Negado", IF(COUNTIF(C:C, C349)&gt;1, "Negado", IF(AND(K349="Alto", L349="S"), "Negado", "Aprovado"))))</f>
        <v>Negado</v>
      </c>
      <c r="O349" s="5" t="str">
        <f>IF(A349="Inativo", "Inativo", IF(A349="", "Negado", IF(COUNTIF(C:C, C349)&gt;1, "Negado", IF(AND(I349&gt;50000, L349="S"), "Negado", "Aprovado"))))</f>
        <v>Aprovado</v>
      </c>
      <c r="P349" s="2">
        <f>IF(OR(N349="Negado", O349="Negado", A349="", L349=""), 0, IF(A349="Ativo", M349*0.08, 0))</f>
        <v>0</v>
      </c>
    </row>
    <row r="350" spans="1:16">
      <c r="A350" s="5" t="s">
        <v>72</v>
      </c>
      <c r="B350" s="47" t="s">
        <v>265</v>
      </c>
      <c r="C350" s="47" t="s">
        <v>997</v>
      </c>
      <c r="D350" s="5">
        <v>57</v>
      </c>
      <c r="F350" t="s">
        <v>98</v>
      </c>
      <c r="G350" t="s">
        <v>103</v>
      </c>
      <c r="H350" s="9">
        <v>0</v>
      </c>
      <c r="I350" s="9">
        <v>0</v>
      </c>
      <c r="J350" s="5">
        <v>28</v>
      </c>
      <c r="K350" s="5" t="str">
        <f>IF(J350&lt;=10, "Baixo", IF(J350&lt;=25, "Médio", "Alto"))</f>
        <v>Alto</v>
      </c>
      <c r="L350" s="5" t="s">
        <v>876</v>
      </c>
      <c r="M350" s="2">
        <v>13000</v>
      </c>
      <c r="N350" s="5" t="str">
        <f>IF(A350="Inativo", "Inativo", IF(A350="", "Negado", IF(COUNTIF(C:C, C350)&gt;1, "Negado", IF(AND(K350="Alto", L350="S"), "Negado", "Aprovado"))))</f>
        <v>Negado</v>
      </c>
      <c r="O350" s="5" t="str">
        <f>IF(A350="Inativo", "Inativo", IF(A350="", "Negado", IF(COUNTIF(C:C, C350)&gt;1, "Negado", IF(AND(I350&gt;50000, L350="S"), "Negado", "Aprovado"))))</f>
        <v>Aprovado</v>
      </c>
      <c r="P350" s="2">
        <f>IF(OR(N350="Negado", O350="Negado", A350="", L350=""), 0, IF(A350="Ativo", M350*0.08, 0))</f>
        <v>0</v>
      </c>
    </row>
    <row r="351" spans="1:16">
      <c r="A351" s="5" t="s">
        <v>72</v>
      </c>
      <c r="B351" s="47" t="s">
        <v>655</v>
      </c>
      <c r="C351" s="47" t="s">
        <v>998</v>
      </c>
      <c r="D351" s="5">
        <v>24</v>
      </c>
      <c r="E351" s="8">
        <v>37470</v>
      </c>
      <c r="F351" t="s">
        <v>300</v>
      </c>
      <c r="G351" t="s">
        <v>301</v>
      </c>
      <c r="H351" s="9">
        <v>16900</v>
      </c>
      <c r="I351" s="9">
        <v>42500</v>
      </c>
      <c r="J351" s="5">
        <v>26</v>
      </c>
      <c r="K351" s="5" t="str">
        <f>IF(J351&lt;=10, "Baixo", IF(J351&lt;=25, "Médio", "Alto"))</f>
        <v>Alto</v>
      </c>
      <c r="L351" s="5" t="s">
        <v>876</v>
      </c>
      <c r="M351" s="2">
        <v>12500</v>
      </c>
      <c r="N351" s="5" t="str">
        <f>IF(A351="Inativo", "Inativo", IF(A351="", "Negado", IF(COUNTIF(C:C, C351)&gt;1, "Negado", IF(AND(K351="Alto", L351="S"), "Negado", "Aprovado"))))</f>
        <v>Negado</v>
      </c>
      <c r="O351" s="5" t="str">
        <f>IF(A351="Inativo", "Inativo", IF(A351="", "Negado", IF(COUNTIF(C:C, C351)&gt;1, "Negado", IF(AND(I351&gt;50000, L351="S"), "Negado", "Aprovado"))))</f>
        <v>Aprovado</v>
      </c>
      <c r="P351" s="2">
        <f>IF(OR(N351="Negado", O351="Negado", A351="", L351=""), 0, IF(A351="Ativo", M351*0.08, 0))</f>
        <v>0</v>
      </c>
    </row>
    <row r="352" spans="1:16">
      <c r="A352" s="5" t="s">
        <v>72</v>
      </c>
      <c r="B352" s="47" t="s">
        <v>101</v>
      </c>
      <c r="C352" s="47" t="s">
        <v>209</v>
      </c>
      <c r="D352" s="5">
        <v>29</v>
      </c>
      <c r="E352" s="8">
        <v>35472</v>
      </c>
      <c r="F352" t="s">
        <v>157</v>
      </c>
      <c r="G352" s="1" t="s">
        <v>137</v>
      </c>
      <c r="H352" s="9">
        <v>11900</v>
      </c>
      <c r="I352" s="9">
        <v>65000</v>
      </c>
      <c r="J352" s="5">
        <v>29</v>
      </c>
      <c r="K352" s="5" t="str">
        <f>IF(J352&lt;=10, "Baixo", IF(J352&lt;=25, "Médio", "Alto"))</f>
        <v>Alto</v>
      </c>
      <c r="L352" s="5" t="s">
        <v>876</v>
      </c>
      <c r="M352" s="2">
        <v>12000</v>
      </c>
      <c r="N352" s="5" t="str">
        <f>IF(A352="Inativo", "Inativo", IF(A352="", "Negado", IF(COUNTIF(C:C, C352)&gt;1, "Negado", IF(AND(K352="Alto", L352="S"), "Negado", "Aprovado"))))</f>
        <v>Negado</v>
      </c>
      <c r="O352" s="5" t="str">
        <f>IF(A352="Inativo", "Inativo", IF(A352="", "Negado", IF(COUNTIF(C:C, C352)&gt;1, "Negado", IF(AND(I352&gt;50000, L352="S"), "Negado", "Aprovado"))))</f>
        <v>Negado</v>
      </c>
      <c r="P352" s="2">
        <f>IF(OR(N352="Negado", O352="Negado", A352="", L352=""), 0, IF(A352="Ativo", M352*0.08, 0))</f>
        <v>0</v>
      </c>
    </row>
    <row r="353" spans="1:16">
      <c r="A353" s="5" t="s">
        <v>77</v>
      </c>
      <c r="B353" s="47" t="s">
        <v>158</v>
      </c>
      <c r="C353" s="47" t="s">
        <v>159</v>
      </c>
      <c r="D353" s="5">
        <v>63</v>
      </c>
      <c r="E353" s="8">
        <v>23259</v>
      </c>
      <c r="F353" t="s">
        <v>84</v>
      </c>
      <c r="G353" t="s">
        <v>411</v>
      </c>
      <c r="H353" s="9">
        <v>0</v>
      </c>
      <c r="I353" s="9">
        <v>0</v>
      </c>
      <c r="J353" s="5">
        <v>1</v>
      </c>
      <c r="K353" s="5" t="str">
        <f>IF(J353&lt;=10, "Baixo", IF(J353&lt;=25, "Médio", "Alto"))</f>
        <v>Baixo</v>
      </c>
      <c r="L353" s="5" t="s">
        <v>876</v>
      </c>
      <c r="M353" s="2">
        <v>12000</v>
      </c>
      <c r="N353" s="5" t="str">
        <f>IF(A353="Inativo", "Inativo", IF(A353="", "Negado", IF(COUNTIF(C:C, C353)&gt;1, "Negado", IF(AND(K353="Alto", L353="S"), "Negado", "Aprovado"))))</f>
        <v>Inativo</v>
      </c>
      <c r="O353" s="5" t="str">
        <f>IF(A353="Inativo", "Inativo", IF(A353="", "Negado", IF(COUNTIF(C:C, C353)&gt;1, "Negado", IF(AND(I353&gt;50000, L353="S"), "Negado", "Aprovado"))))</f>
        <v>Inativo</v>
      </c>
      <c r="P353" s="2">
        <f>IF(OR(N353="Negado", O353="Negado", A353="", L353=""), 0, IF(A353="Ativo", M353*0.08, 0))</f>
        <v>0</v>
      </c>
    </row>
    <row r="354" spans="1:16">
      <c r="A354" s="5" t="s">
        <v>72</v>
      </c>
      <c r="B354" s="47" t="s">
        <v>999</v>
      </c>
      <c r="C354" s="47" t="s">
        <v>398</v>
      </c>
      <c r="D354" s="5">
        <v>55</v>
      </c>
      <c r="E354" s="8">
        <v>25880</v>
      </c>
      <c r="F354" t="s">
        <v>79</v>
      </c>
      <c r="G354" t="s">
        <v>301</v>
      </c>
      <c r="H354" s="9">
        <v>27500</v>
      </c>
      <c r="I354" s="9">
        <v>14000</v>
      </c>
      <c r="J354" s="5">
        <v>3</v>
      </c>
      <c r="K354" s="5" t="str">
        <f>IF(J354&lt;=10, "Baixo", IF(J354&lt;=25, "Médio", "Alto"))</f>
        <v>Baixo</v>
      </c>
      <c r="L354" s="5" t="s">
        <v>874</v>
      </c>
      <c r="M354" s="2">
        <v>11500</v>
      </c>
      <c r="N354" s="5" t="str">
        <f>IF(A354="Inativo", "Inativo", IF(A354="", "Negado", IF(COUNTIF(C:C, C354)&gt;1, "Negado", IF(AND(K354="Alto", L354="S"), "Negado", "Aprovado"))))</f>
        <v>Aprovado</v>
      </c>
      <c r="O354" s="5" t="str">
        <f>IF(A354="Inativo", "Inativo", IF(A354="", "Negado", IF(COUNTIF(C:C, C354)&gt;1, "Negado", IF(AND(I354&gt;50000, L354="S"), "Negado", "Aprovado"))))</f>
        <v>Aprovado</v>
      </c>
      <c r="P354" s="2">
        <f>IF(OR(N354="Negado", O354="Negado", A354="", L354=""), 0, IF(A354="Ativo", M354*0.08, 0))</f>
        <v>920</v>
      </c>
    </row>
    <row r="355" spans="1:16">
      <c r="A355" s="5" t="s">
        <v>77</v>
      </c>
      <c r="B355" s="47" t="s">
        <v>570</v>
      </c>
      <c r="C355" s="47" t="s">
        <v>571</v>
      </c>
      <c r="D355" s="5">
        <v>26</v>
      </c>
      <c r="E355" s="8">
        <v>36540</v>
      </c>
      <c r="F355" t="s">
        <v>84</v>
      </c>
      <c r="G355" t="s">
        <v>411</v>
      </c>
      <c r="H355" s="9">
        <v>24000</v>
      </c>
      <c r="I355" s="9">
        <v>52000</v>
      </c>
      <c r="J355" s="5">
        <v>30</v>
      </c>
      <c r="K355" s="5" t="str">
        <f>IF(J355&lt;=10, "Baixo", IF(J355&lt;=25, "Médio", "Alto"))</f>
        <v>Alto</v>
      </c>
      <c r="L355" s="5" t="s">
        <v>874</v>
      </c>
      <c r="M355" s="2">
        <v>11500</v>
      </c>
      <c r="N355" s="5" t="str">
        <f>IF(A355="Inativo", "Inativo", IF(A355="", "Negado", IF(COUNTIF(C:C, C355)&gt;1, "Negado", IF(AND(K355="Alto", L355="S"), "Negado", "Aprovado"))))</f>
        <v>Inativo</v>
      </c>
      <c r="O355" s="5" t="str">
        <f>IF(A355="Inativo", "Inativo", IF(A355="", "Negado", IF(COUNTIF(C:C, C355)&gt;1, "Negado", IF(AND(I355&gt;50000, L355="S"), "Negado", "Aprovado"))))</f>
        <v>Inativo</v>
      </c>
      <c r="P355" s="2">
        <f>IF(OR(N355="Negado", O355="Negado", A355="", L355=""), 0, IF(A355="Ativo", M355*0.08, 0))</f>
        <v>0</v>
      </c>
    </row>
    <row r="356" spans="1:16">
      <c r="A356" s="5" t="s">
        <v>72</v>
      </c>
      <c r="B356" s="47" t="s">
        <v>403</v>
      </c>
      <c r="C356" s="47" t="s">
        <v>1000</v>
      </c>
      <c r="D356" s="5">
        <v>23</v>
      </c>
      <c r="E356" s="8">
        <v>37566</v>
      </c>
      <c r="F356" t="s">
        <v>122</v>
      </c>
      <c r="G356" t="s">
        <v>117</v>
      </c>
      <c r="H356" s="9">
        <v>2600</v>
      </c>
      <c r="I356" s="9">
        <v>0</v>
      </c>
      <c r="J356" s="5">
        <v>30</v>
      </c>
      <c r="K356" s="5" t="str">
        <f>IF(J356&lt;=10, "Baixo", IF(J356&lt;=25, "Médio", "Alto"))</f>
        <v>Alto</v>
      </c>
      <c r="L356" s="5" t="s">
        <v>876</v>
      </c>
      <c r="M356" s="2">
        <v>11000</v>
      </c>
      <c r="N356" s="5" t="str">
        <f>IF(A356="Inativo", "Inativo", IF(A356="", "Negado", IF(COUNTIF(C:C, C356)&gt;1, "Negado", IF(AND(K356="Alto", L356="S"), "Negado", "Aprovado"))))</f>
        <v>Negado</v>
      </c>
      <c r="O356" s="5" t="str">
        <f>IF(A356="Inativo", "Inativo", IF(A356="", "Negado", IF(COUNTIF(C:C, C356)&gt;1, "Negado", IF(AND(I356&gt;50000, L356="S"), "Negado", "Aprovado"))))</f>
        <v>Aprovado</v>
      </c>
      <c r="P356" s="2">
        <f>IF(OR(N356="Negado", O356="Negado", A356="", L356=""), 0, IF(A356="Ativo", M356*0.08, 0))</f>
        <v>0</v>
      </c>
    </row>
    <row r="357" spans="1:16">
      <c r="A357" s="5" t="s">
        <v>72</v>
      </c>
      <c r="B357" s="47" t="s">
        <v>544</v>
      </c>
      <c r="C357" s="47" t="s">
        <v>545</v>
      </c>
      <c r="D357" s="5">
        <v>18</v>
      </c>
      <c r="E357" s="8">
        <v>39338</v>
      </c>
      <c r="F357" t="s">
        <v>157</v>
      </c>
      <c r="G357" t="s">
        <v>137</v>
      </c>
      <c r="H357" s="9">
        <v>14100</v>
      </c>
      <c r="I357" s="9">
        <v>38500</v>
      </c>
      <c r="J357" s="5">
        <v>7</v>
      </c>
      <c r="K357" s="5" t="str">
        <f>IF(J357&lt;=10, "Baixo", IF(J357&lt;=25, "Médio", "Alto"))</f>
        <v>Baixo</v>
      </c>
      <c r="L357" s="5" t="s">
        <v>874</v>
      </c>
      <c r="M357" s="2">
        <v>11000</v>
      </c>
      <c r="N357" s="5" t="str">
        <f>IF(A357="Inativo", "Inativo", IF(A357="", "Negado", IF(COUNTIF(C:C, C357)&gt;1, "Negado", IF(AND(K357="Alto", L357="S"), "Negado", "Aprovado"))))</f>
        <v>Aprovado</v>
      </c>
      <c r="O357" s="5" t="str">
        <f>IF(A357="Inativo", "Inativo", IF(A357="", "Negado", IF(COUNTIF(C:C, C357)&gt;1, "Negado", IF(AND(I357&gt;50000, L357="S"), "Negado", "Aprovado"))))</f>
        <v>Aprovado</v>
      </c>
      <c r="P357" s="2">
        <f>IF(OR(N357="Negado", O357="Negado", A357="", L357=""), 0, IF(A357="Ativo", M357*0.08, 0))</f>
        <v>880</v>
      </c>
    </row>
    <row r="358" spans="1:16">
      <c r="A358" s="5" t="s">
        <v>72</v>
      </c>
      <c r="B358" s="47" t="s">
        <v>851</v>
      </c>
      <c r="C358" s="47" t="s">
        <v>852</v>
      </c>
      <c r="D358" s="5">
        <v>26</v>
      </c>
      <c r="E358" s="8">
        <v>36422</v>
      </c>
      <c r="F358" t="s">
        <v>84</v>
      </c>
      <c r="G358" t="s">
        <v>411</v>
      </c>
      <c r="H358" s="9">
        <v>8900</v>
      </c>
      <c r="I358" s="9">
        <v>72000</v>
      </c>
      <c r="J358" s="5">
        <v>17</v>
      </c>
      <c r="K358" s="5" t="str">
        <f>IF(J358&lt;=10, "Baixo", IF(J358&lt;=25, "Médio", "Alto"))</f>
        <v>Médio</v>
      </c>
      <c r="M358" s="2">
        <v>11000</v>
      </c>
      <c r="N358" s="5" t="str">
        <f>IF(A358="Inativo", "Inativo", IF(A358="", "Negado", IF(COUNTIF(C:C, C358)&gt;1, "Negado", IF(AND(K358="Alto", L358="S"), "Negado", "Aprovado"))))</f>
        <v>Aprovado</v>
      </c>
      <c r="O358" s="5" t="str">
        <f>IF(A358="Inativo", "Inativo", IF(A358="", "Negado", IF(COUNTIF(C:C, C358)&gt;1, "Negado", IF(AND(I358&gt;50000, L358="S"), "Negado", "Aprovado"))))</f>
        <v>Aprovado</v>
      </c>
      <c r="P358" s="2">
        <f>IF(OR(N358="Negado", O358="Negado", A358="", L358=""), 0, IF(A358="Ativo", M358*0.08, 0))</f>
        <v>0</v>
      </c>
    </row>
    <row r="359" spans="1:16">
      <c r="A359" s="5" t="s">
        <v>77</v>
      </c>
      <c r="B359" s="47" t="s">
        <v>657</v>
      </c>
      <c r="C359" s="47" t="s">
        <v>658</v>
      </c>
      <c r="D359" s="5">
        <v>55</v>
      </c>
      <c r="E359" s="8">
        <v>25848</v>
      </c>
      <c r="F359" t="s">
        <v>116</v>
      </c>
      <c r="G359" t="s">
        <v>117</v>
      </c>
      <c r="H359" s="9">
        <v>0</v>
      </c>
      <c r="I359" s="9">
        <v>5000</v>
      </c>
      <c r="J359" s="5">
        <v>8</v>
      </c>
      <c r="K359" s="5" t="str">
        <f>IF(J359&lt;=10, "Baixo", IF(J359&lt;=25, "Médio", "Alto"))</f>
        <v>Baixo</v>
      </c>
      <c r="L359" s="5" t="s">
        <v>874</v>
      </c>
      <c r="M359" s="2">
        <v>11000</v>
      </c>
      <c r="N359" s="5" t="str">
        <f>IF(A359="Inativo", "Inativo", IF(A359="", "Negado", IF(COUNTIF(C:C, C359)&gt;1, "Negado", IF(AND(K359="Alto", L359="S"), "Negado", "Aprovado"))))</f>
        <v>Inativo</v>
      </c>
      <c r="O359" s="5" t="str">
        <f>IF(A359="Inativo", "Inativo", IF(A359="", "Negado", IF(COUNTIF(C:C, C359)&gt;1, "Negado", IF(AND(I359&gt;50000, L359="S"), "Negado", "Aprovado"))))</f>
        <v>Inativo</v>
      </c>
      <c r="P359" s="2">
        <f>IF(OR(N359="Negado", O359="Negado", A359="", L359=""), 0, IF(A359="Ativo", M359*0.08, 0))</f>
        <v>0</v>
      </c>
    </row>
    <row r="360" spans="1:16">
      <c r="A360" s="5" t="s">
        <v>77</v>
      </c>
      <c r="B360" s="47" t="s">
        <v>604</v>
      </c>
      <c r="C360" s="47" t="s">
        <v>1001</v>
      </c>
      <c r="D360" s="5">
        <v>55</v>
      </c>
      <c r="E360" s="8">
        <v>25895</v>
      </c>
      <c r="F360" t="s">
        <v>116</v>
      </c>
      <c r="G360" t="s">
        <v>117</v>
      </c>
      <c r="H360" s="9">
        <v>6800</v>
      </c>
      <c r="I360" s="9">
        <v>12000</v>
      </c>
      <c r="J360" s="5">
        <v>6</v>
      </c>
      <c r="K360" s="5" t="str">
        <f>IF(J360&lt;=10, "Baixo", IF(J360&lt;=25, "Médio", "Alto"))</f>
        <v>Baixo</v>
      </c>
      <c r="L360" s="5" t="s">
        <v>874</v>
      </c>
      <c r="M360" s="2">
        <v>11000</v>
      </c>
      <c r="N360" s="5" t="str">
        <f>IF(A360="Inativo", "Inativo", IF(A360="", "Negado", IF(COUNTIF(C:C, C360)&gt;1, "Negado", IF(AND(K360="Alto", L360="S"), "Negado", "Aprovado"))))</f>
        <v>Inativo</v>
      </c>
      <c r="O360" s="5" t="str">
        <f>IF(A360="Inativo", "Inativo", IF(A360="", "Negado", IF(COUNTIF(C:C, C360)&gt;1, "Negado", IF(AND(I360&gt;50000, L360="S"), "Negado", "Aprovado"))))</f>
        <v>Inativo</v>
      </c>
      <c r="P360" s="2">
        <f>IF(OR(N360="Negado", O360="Negado", A360="", L360=""), 0, IF(A360="Ativo", M360*0.08, 0))</f>
        <v>0</v>
      </c>
    </row>
    <row r="361" spans="1:16">
      <c r="A361" s="5" t="s">
        <v>72</v>
      </c>
      <c r="B361" s="47" t="s">
        <v>666</v>
      </c>
      <c r="C361" s="47" t="s">
        <v>1002</v>
      </c>
      <c r="D361" s="5">
        <v>20</v>
      </c>
      <c r="E361" s="8">
        <v>38678</v>
      </c>
      <c r="F361" t="s">
        <v>122</v>
      </c>
      <c r="G361" t="s">
        <v>117</v>
      </c>
      <c r="H361" s="9">
        <v>9300</v>
      </c>
      <c r="I361" s="9">
        <v>35000</v>
      </c>
      <c r="J361" s="5">
        <v>5</v>
      </c>
      <c r="K361" s="5" t="str">
        <f>IF(J361&lt;=10, "Baixo", IF(J361&lt;=25, "Médio", "Alto"))</f>
        <v>Baixo</v>
      </c>
      <c r="L361" s="5" t="s">
        <v>874</v>
      </c>
      <c r="M361" s="2">
        <v>10500</v>
      </c>
      <c r="N361" s="5" t="str">
        <f>IF(A361="Inativo", "Inativo", IF(A361="", "Negado", IF(COUNTIF(C:C, C361)&gt;1, "Negado", IF(AND(K361="Alto", L361="S"), "Negado", "Aprovado"))))</f>
        <v>Aprovado</v>
      </c>
      <c r="O361" s="5" t="str">
        <f>IF(A361="Inativo", "Inativo", IF(A361="", "Negado", IF(COUNTIF(C:C, C361)&gt;1, "Negado", IF(AND(I361&gt;50000, L361="S"), "Negado", "Aprovado"))))</f>
        <v>Aprovado</v>
      </c>
      <c r="P361" s="2">
        <f>IF(OR(N361="Negado", O361="Negado", A361="", L361=""), 0, IF(A361="Ativo", M361*0.08, 0))</f>
        <v>840</v>
      </c>
    </row>
    <row r="362" spans="1:16">
      <c r="A362" s="5" t="s">
        <v>72</v>
      </c>
      <c r="B362" s="47" t="s">
        <v>158</v>
      </c>
      <c r="C362" s="47" t="s">
        <v>640</v>
      </c>
      <c r="D362" s="5">
        <v>44</v>
      </c>
      <c r="E362" s="8">
        <v>30069</v>
      </c>
      <c r="F362" t="s">
        <v>133</v>
      </c>
      <c r="G362" t="s">
        <v>134</v>
      </c>
      <c r="H362" s="9">
        <v>21700</v>
      </c>
      <c r="I362" s="9">
        <v>34500</v>
      </c>
      <c r="J362" s="5">
        <v>29</v>
      </c>
      <c r="K362" s="5" t="str">
        <f>IF(J362&lt;=10, "Baixo", IF(J362&lt;=25, "Médio", "Alto"))</f>
        <v>Alto</v>
      </c>
      <c r="L362" s="5" t="s">
        <v>874</v>
      </c>
      <c r="M362" s="2">
        <v>10500</v>
      </c>
      <c r="N362" s="5" t="str">
        <f>IF(A362="Inativo", "Inativo", IF(A362="", "Negado", IF(COUNTIF(C:C, C362)&gt;1, "Negado", IF(AND(K362="Alto", L362="S"), "Negado", "Aprovado"))))</f>
        <v>Aprovado</v>
      </c>
      <c r="O362" s="5" t="str">
        <f>IF(A362="Inativo", "Inativo", IF(A362="", "Negado", IF(COUNTIF(C:C, C362)&gt;1, "Negado", IF(AND(I362&gt;50000, L362="S"), "Negado", "Aprovado"))))</f>
        <v>Aprovado</v>
      </c>
      <c r="P362" s="2">
        <f>IF(OR(N362="Negado", O362="Negado", A362="", L362=""), 0, IF(A362="Ativo", M362*0.08, 0))</f>
        <v>840</v>
      </c>
    </row>
    <row r="363" spans="1:16">
      <c r="A363" s="5" t="s">
        <v>72</v>
      </c>
      <c r="B363" s="47" t="s">
        <v>681</v>
      </c>
      <c r="C363" s="47" t="s">
        <v>738</v>
      </c>
      <c r="D363" s="5">
        <v>26</v>
      </c>
      <c r="E363" s="8">
        <v>36671</v>
      </c>
      <c r="F363" t="s">
        <v>79</v>
      </c>
      <c r="G363" t="s">
        <v>301</v>
      </c>
      <c r="H363" s="9">
        <v>25000</v>
      </c>
      <c r="I363" s="9">
        <v>1000</v>
      </c>
      <c r="J363" s="5">
        <v>16</v>
      </c>
      <c r="K363" s="5" t="str">
        <f>IF(J363&lt;=10, "Baixo", IF(J363&lt;=25, "Médio", "Alto"))</f>
        <v>Médio</v>
      </c>
      <c r="L363" s="5" t="s">
        <v>874</v>
      </c>
      <c r="M363" s="2">
        <v>10500</v>
      </c>
      <c r="N363" s="5" t="str">
        <f>IF(A363="Inativo", "Inativo", IF(A363="", "Negado", IF(COUNTIF(C:C, C363)&gt;1, "Negado", IF(AND(K363="Alto", L363="S"), "Negado", "Aprovado"))))</f>
        <v>Aprovado</v>
      </c>
      <c r="O363" s="5" t="str">
        <f>IF(A363="Inativo", "Inativo", IF(A363="", "Negado", IF(COUNTIF(C:C, C363)&gt;1, "Negado", IF(AND(I363&gt;50000, L363="S"), "Negado", "Aprovado"))))</f>
        <v>Aprovado</v>
      </c>
      <c r="P363" s="2">
        <f>IF(OR(N363="Negado", O363="Negado", A363="", L363=""), 0, IF(A363="Ativo", M363*0.08, 0))</f>
        <v>840</v>
      </c>
    </row>
    <row r="364" spans="1:16">
      <c r="A364" s="5" t="s">
        <v>72</v>
      </c>
      <c r="B364" s="47" t="s">
        <v>327</v>
      </c>
      <c r="C364" s="47" t="s">
        <v>328</v>
      </c>
      <c r="D364" s="5">
        <v>42</v>
      </c>
      <c r="E364" s="8">
        <v>30666</v>
      </c>
      <c r="F364" t="s">
        <v>84</v>
      </c>
      <c r="G364" t="s">
        <v>411</v>
      </c>
      <c r="H364" s="9">
        <v>6000</v>
      </c>
      <c r="I364" s="9">
        <v>55000</v>
      </c>
      <c r="J364" s="5">
        <v>5</v>
      </c>
      <c r="K364" s="5" t="str">
        <f>IF(J364&lt;=10, "Baixo", IF(J364&lt;=25, "Médio", "Alto"))</f>
        <v>Baixo</v>
      </c>
      <c r="L364" s="5" t="s">
        <v>874</v>
      </c>
      <c r="M364" s="2">
        <v>10000</v>
      </c>
      <c r="N364" s="5" t="str">
        <f>IF(A364="Inativo", "Inativo", IF(A364="", "Negado", IF(COUNTIF(C:C, C364)&gt;1, "Negado", IF(AND(K364="Alto", L364="S"), "Negado", "Aprovado"))))</f>
        <v>Aprovado</v>
      </c>
      <c r="O364" s="5" t="str">
        <f>IF(A364="Inativo", "Inativo", IF(A364="", "Negado", IF(COUNTIF(C:C, C364)&gt;1, "Negado", IF(AND(I364&gt;50000, L364="S"), "Negado", "Aprovado"))))</f>
        <v>Aprovado</v>
      </c>
      <c r="P364" s="2">
        <f>IF(OR(N364="Negado", O364="Negado", A364="", L364=""), 0, IF(A364="Ativo", M364*0.08, 0))</f>
        <v>800</v>
      </c>
    </row>
    <row r="365" spans="1:16">
      <c r="A365" s="5" t="s">
        <v>72</v>
      </c>
      <c r="B365" s="47" t="s">
        <v>779</v>
      </c>
      <c r="C365" s="47" t="s">
        <v>1003</v>
      </c>
      <c r="D365" s="5">
        <v>58</v>
      </c>
      <c r="E365" s="8">
        <v>24840</v>
      </c>
      <c r="F365" t="s">
        <v>240</v>
      </c>
      <c r="G365" t="s">
        <v>453</v>
      </c>
      <c r="H365" s="9">
        <v>2800</v>
      </c>
      <c r="I365" s="9">
        <v>35000</v>
      </c>
      <c r="J365" s="5">
        <v>36</v>
      </c>
      <c r="K365" s="5" t="str">
        <f>IF(J365&lt;=10, "Baixo", IF(J365&lt;=25, "Médio", "Alto"))</f>
        <v>Alto</v>
      </c>
      <c r="L365" s="5" t="s">
        <v>874</v>
      </c>
      <c r="M365" s="2">
        <v>9000</v>
      </c>
      <c r="N365" s="5" t="str">
        <f>IF(A365="Inativo", "Inativo", IF(A365="", "Negado", IF(COUNTIF(C:C, C365)&gt;1, "Negado", IF(AND(K365="Alto", L365="S"), "Negado", "Aprovado"))))</f>
        <v>Aprovado</v>
      </c>
      <c r="O365" s="5" t="str">
        <f>IF(A365="Inativo", "Inativo", IF(A365="", "Negado", IF(COUNTIF(C:C, C365)&gt;1, "Negado", IF(AND(I365&gt;50000, L365="S"), "Negado", "Aprovado"))))</f>
        <v>Aprovado</v>
      </c>
      <c r="P365" s="2">
        <f>IF(OR(N365="Negado", O365="Negado", A365="", L365=""), 0, IF(A365="Ativo", M365*0.08, 0))</f>
        <v>720</v>
      </c>
    </row>
    <row r="366" spans="1:16">
      <c r="A366" s="5" t="s">
        <v>72</v>
      </c>
      <c r="B366" s="47" t="s">
        <v>588</v>
      </c>
      <c r="C366" s="47" t="s">
        <v>589</v>
      </c>
      <c r="D366" s="5">
        <v>25</v>
      </c>
      <c r="E366" s="8">
        <v>37056</v>
      </c>
      <c r="F366" t="s">
        <v>157</v>
      </c>
      <c r="G366" t="s">
        <v>137</v>
      </c>
      <c r="H366" s="9">
        <v>25400</v>
      </c>
      <c r="I366" s="9">
        <v>4000</v>
      </c>
      <c r="J366" s="5">
        <v>4</v>
      </c>
      <c r="K366" s="5" t="str">
        <f>IF(J366&lt;=10, "Baixo", IF(J366&lt;=25, "Médio", "Alto"))</f>
        <v>Baixo</v>
      </c>
      <c r="L366" s="5" t="s">
        <v>874</v>
      </c>
      <c r="M366" s="2">
        <v>8500</v>
      </c>
      <c r="N366" s="5" t="str">
        <f>IF(A366="Inativo", "Inativo", IF(A366="", "Negado", IF(COUNTIF(C:C, C366)&gt;1, "Negado", IF(AND(K366="Alto", L366="S"), "Negado", "Aprovado"))))</f>
        <v>Aprovado</v>
      </c>
      <c r="O366" s="5" t="str">
        <f>IF(A366="Inativo", "Inativo", IF(A366="", "Negado", IF(COUNTIF(C:C, C366)&gt;1, "Negado", IF(AND(I366&gt;50000, L366="S"), "Negado", "Aprovado"))))</f>
        <v>Aprovado</v>
      </c>
      <c r="P366" s="2">
        <f>IF(OR(N366="Negado", O366="Negado", A366="", L366=""), 0, IF(A366="Ativo", M366*0.08, 0))</f>
        <v>680</v>
      </c>
    </row>
    <row r="367" spans="1:16">
      <c r="A367" s="5" t="s">
        <v>77</v>
      </c>
      <c r="B367" s="47" t="s">
        <v>283</v>
      </c>
      <c r="C367" s="47" t="s">
        <v>284</v>
      </c>
      <c r="D367" s="5">
        <v>59</v>
      </c>
      <c r="E367" s="8">
        <v>24512</v>
      </c>
      <c r="F367" t="s">
        <v>212</v>
      </c>
      <c r="G367" t="s">
        <v>144</v>
      </c>
      <c r="H367" s="9">
        <v>6300</v>
      </c>
      <c r="I367" s="9">
        <v>15000</v>
      </c>
      <c r="J367" s="5">
        <v>42</v>
      </c>
      <c r="K367" s="5" t="str">
        <f>IF(J367&lt;=10, "Baixo", IF(J367&lt;=25, "Médio", "Alto"))</f>
        <v>Alto</v>
      </c>
      <c r="L367" s="5" t="s">
        <v>874</v>
      </c>
      <c r="M367" s="2">
        <v>8500</v>
      </c>
      <c r="N367" s="5" t="str">
        <f>IF(A367="Inativo", "Inativo", IF(A367="", "Negado", IF(COUNTIF(C:C, C367)&gt;1, "Negado", IF(AND(K367="Alto", L367="S"), "Negado", "Aprovado"))))</f>
        <v>Inativo</v>
      </c>
      <c r="O367" s="5" t="str">
        <f>IF(A367="Inativo", "Inativo", IF(A367="", "Negado", IF(COUNTIF(C:C, C367)&gt;1, "Negado", IF(AND(I367&gt;50000, L367="S"), "Negado", "Aprovado"))))</f>
        <v>Inativo</v>
      </c>
      <c r="P367" s="2">
        <f>IF(OR(N367="Negado", O367="Negado", A367="", L367=""), 0, IF(A367="Ativo", M367*0.08, 0))</f>
        <v>0</v>
      </c>
    </row>
    <row r="368" spans="1:16">
      <c r="A368" s="5" t="s">
        <v>72</v>
      </c>
      <c r="B368" s="47" t="s">
        <v>151</v>
      </c>
      <c r="C368" s="47" t="s">
        <v>152</v>
      </c>
      <c r="D368" s="5">
        <v>68</v>
      </c>
      <c r="E368" s="8">
        <v>21378</v>
      </c>
      <c r="F368" t="s">
        <v>116</v>
      </c>
      <c r="G368" t="s">
        <v>117</v>
      </c>
      <c r="H368" s="9">
        <v>14300</v>
      </c>
      <c r="I368" s="9">
        <v>32500</v>
      </c>
      <c r="J368" s="5">
        <v>15</v>
      </c>
      <c r="K368" s="5" t="str">
        <f>IF(J368&lt;=10, "Baixo", IF(J368&lt;=25, "Médio", "Alto"))</f>
        <v>Médio</v>
      </c>
      <c r="L368" s="5" t="s">
        <v>876</v>
      </c>
      <c r="M368" s="2">
        <v>8000</v>
      </c>
      <c r="N368" s="5" t="str">
        <f>IF(A368="Inativo", "Inativo", IF(A368="", "Negado", IF(COUNTIF(C:C, C368)&gt;1, "Negado", IF(AND(K368="Alto", L368="S"), "Negado", "Aprovado"))))</f>
        <v>Aprovado</v>
      </c>
      <c r="O368" s="5" t="str">
        <f>IF(A368="Inativo", "Inativo", IF(A368="", "Negado", IF(COUNTIF(C:C, C368)&gt;1, "Negado", IF(AND(I368&gt;50000, L368="S"), "Negado", "Aprovado"))))</f>
        <v>Aprovado</v>
      </c>
      <c r="P368" s="2">
        <f>IF(OR(N368="Negado", O368="Negado", A368="", L368=""), 0, IF(A368="Ativo", M368*0.08, 0))</f>
        <v>640</v>
      </c>
    </row>
    <row r="369" spans="1:16">
      <c r="A369" s="5" t="s">
        <v>72</v>
      </c>
      <c r="B369" s="47" t="s">
        <v>854</v>
      </c>
      <c r="C369" s="47" t="s">
        <v>855</v>
      </c>
      <c r="D369" s="5">
        <v>67</v>
      </c>
      <c r="E369" s="8">
        <v>21671</v>
      </c>
      <c r="F369" t="s">
        <v>79</v>
      </c>
      <c r="G369" t="s">
        <v>301</v>
      </c>
      <c r="H369" s="9">
        <v>6500</v>
      </c>
      <c r="I369" s="9">
        <v>42500</v>
      </c>
      <c r="J369" s="5">
        <v>3</v>
      </c>
      <c r="K369" s="5" t="str">
        <f>IF(J369&lt;=10, "Baixo", IF(J369&lt;=25, "Médio", "Alto"))</f>
        <v>Baixo</v>
      </c>
      <c r="L369" s="5" t="s">
        <v>876</v>
      </c>
      <c r="M369" s="2">
        <v>8000</v>
      </c>
      <c r="N369" s="5" t="str">
        <f>IF(A369="Inativo", "Inativo", IF(A369="", "Negado", IF(COUNTIF(C:C, C369)&gt;1, "Negado", IF(AND(K369="Alto", L369="S"), "Negado", "Aprovado"))))</f>
        <v>Aprovado</v>
      </c>
      <c r="O369" s="5" t="str">
        <f>IF(A369="Inativo", "Inativo", IF(A369="", "Negado", IF(COUNTIF(C:C, C369)&gt;1, "Negado", IF(AND(I369&gt;50000, L369="S"), "Negado", "Aprovado"))))</f>
        <v>Aprovado</v>
      </c>
      <c r="P369" s="2">
        <f>IF(OR(N369="Negado", O369="Negado", A369="", L369=""), 0, IF(A369="Ativo", M369*0.08, 0))</f>
        <v>640</v>
      </c>
    </row>
    <row r="370" spans="1:16">
      <c r="A370" s="5" t="s">
        <v>72</v>
      </c>
      <c r="B370" s="47" t="s">
        <v>404</v>
      </c>
      <c r="C370" s="47" t="s">
        <v>405</v>
      </c>
      <c r="D370" s="5">
        <v>25</v>
      </c>
      <c r="E370" s="8">
        <v>37137</v>
      </c>
      <c r="F370" t="s">
        <v>75</v>
      </c>
      <c r="G370" t="s">
        <v>76</v>
      </c>
      <c r="H370" s="9">
        <v>0</v>
      </c>
      <c r="I370" s="9">
        <v>21000</v>
      </c>
      <c r="J370" s="5">
        <v>34</v>
      </c>
      <c r="K370" s="5" t="str">
        <f>IF(J370&lt;=10, "Baixo", IF(J370&lt;=25, "Médio", "Alto"))</f>
        <v>Alto</v>
      </c>
      <c r="L370" s="5" t="s">
        <v>874</v>
      </c>
      <c r="M370" s="2">
        <v>7500</v>
      </c>
      <c r="N370" s="5" t="str">
        <f>IF(A370="Inativo", "Inativo", IF(A370="", "Negado", IF(COUNTIF(C:C, C370)&gt;1, "Negado", IF(AND(K370="Alto", L370="S"), "Negado", "Aprovado"))))</f>
        <v>Aprovado</v>
      </c>
      <c r="O370" s="5" t="str">
        <f>IF(A370="Inativo", "Inativo", IF(A370="", "Negado", IF(COUNTIF(C:C, C370)&gt;1, "Negado", IF(AND(I370&gt;50000, L370="S"), "Negado", "Aprovado"))))</f>
        <v>Aprovado</v>
      </c>
      <c r="P370" s="2">
        <f>IF(OR(N370="Negado", O370="Negado", A370="", L370=""), 0, IF(A370="Ativo", M370*0.08, 0))</f>
        <v>600</v>
      </c>
    </row>
    <row r="371" spans="1:16">
      <c r="A371" s="5" t="s">
        <v>77</v>
      </c>
      <c r="B371" s="47" t="s">
        <v>173</v>
      </c>
      <c r="C371" s="47" t="s">
        <v>174</v>
      </c>
      <c r="D371" s="5">
        <v>68</v>
      </c>
      <c r="E371" s="8">
        <v>21293</v>
      </c>
      <c r="F371" t="s">
        <v>107</v>
      </c>
      <c r="G371" t="s">
        <v>108</v>
      </c>
      <c r="H371" s="9">
        <v>3800</v>
      </c>
      <c r="I371" s="9">
        <v>70000</v>
      </c>
      <c r="J371" s="5">
        <v>34</v>
      </c>
      <c r="K371" s="5" t="str">
        <f>IF(J371&lt;=10, "Baixo", IF(J371&lt;=25, "Médio", "Alto"))</f>
        <v>Alto</v>
      </c>
      <c r="L371" s="5" t="s">
        <v>876</v>
      </c>
      <c r="M371" s="2">
        <v>7500</v>
      </c>
      <c r="N371" s="5" t="str">
        <f>IF(A371="Inativo", "Inativo", IF(A371="", "Negado", IF(COUNTIF(C:C, C371)&gt;1, "Negado", IF(AND(K371="Alto", L371="S"), "Negado", "Aprovado"))))</f>
        <v>Inativo</v>
      </c>
      <c r="O371" s="5" t="str">
        <f>IF(A371="Inativo", "Inativo", IF(A371="", "Negado", IF(COUNTIF(C:C, C371)&gt;1, "Negado", IF(AND(I371&gt;50000, L371="S"), "Negado", "Aprovado"))))</f>
        <v>Inativo</v>
      </c>
      <c r="P371" s="2">
        <f>IF(OR(N371="Negado", O371="Negado", A371="", L371=""), 0, IF(A371="Ativo", M371*0.08, 0))</f>
        <v>0</v>
      </c>
    </row>
    <row r="372" spans="1:16">
      <c r="A372" s="5" t="s">
        <v>72</v>
      </c>
      <c r="B372" s="47" t="s">
        <v>641</v>
      </c>
      <c r="C372" s="47" t="s">
        <v>1004</v>
      </c>
      <c r="D372" s="5">
        <v>27</v>
      </c>
      <c r="E372" s="8">
        <v>36411</v>
      </c>
      <c r="F372" t="s">
        <v>133</v>
      </c>
      <c r="G372" t="s">
        <v>134</v>
      </c>
      <c r="H372" s="9">
        <v>9200</v>
      </c>
      <c r="I372" s="9">
        <v>68500</v>
      </c>
      <c r="J372" s="5">
        <v>27</v>
      </c>
      <c r="K372" s="5" t="str">
        <f>IF(J372&lt;=10, "Baixo", IF(J372&lt;=25, "Médio", "Alto"))</f>
        <v>Alto</v>
      </c>
      <c r="L372" s="5" t="s">
        <v>874</v>
      </c>
      <c r="M372" s="2">
        <v>7000</v>
      </c>
      <c r="N372" s="5" t="str">
        <f>IF(A372="Inativo", "Inativo", IF(A372="", "Negado", IF(COUNTIF(C:C, C372)&gt;1, "Negado", IF(AND(K372="Alto", L372="S"), "Negado", "Aprovado"))))</f>
        <v>Aprovado</v>
      </c>
      <c r="O372" s="5" t="str">
        <f>IF(A372="Inativo", "Inativo", IF(A372="", "Negado", IF(COUNTIF(C:C, C372)&gt;1, "Negado", IF(AND(I372&gt;50000, L372="S"), "Negado", "Aprovado"))))</f>
        <v>Aprovado</v>
      </c>
      <c r="P372" s="2">
        <f>IF(OR(N372="Negado", O372="Negado", A372="", L372=""), 0, IF(A372="Ativo", M372*0.08, 0))</f>
        <v>560</v>
      </c>
    </row>
    <row r="373" spans="1:16">
      <c r="A373" s="5" t="s">
        <v>72</v>
      </c>
      <c r="B373" s="47" t="s">
        <v>624</v>
      </c>
      <c r="C373" s="47" t="s">
        <v>625</v>
      </c>
      <c r="D373" s="5">
        <v>30</v>
      </c>
      <c r="E373" s="8">
        <v>35180</v>
      </c>
      <c r="F373" t="s">
        <v>149</v>
      </c>
      <c r="G373" t="s">
        <v>137</v>
      </c>
      <c r="H373" s="9">
        <v>13800</v>
      </c>
      <c r="I373" s="9">
        <v>42000</v>
      </c>
      <c r="J373" s="5">
        <v>29</v>
      </c>
      <c r="K373" s="5" t="str">
        <f>IF(J373&lt;=10, "Baixo", IF(J373&lt;=25, "Médio", "Alto"))</f>
        <v>Alto</v>
      </c>
      <c r="M373" s="2">
        <v>7000</v>
      </c>
      <c r="N373" s="5" t="str">
        <f>IF(A373="Inativo", "Inativo", IF(A373="", "Negado", IF(COUNTIF(C:C, C373)&gt;1, "Negado", IF(AND(K373="Alto", L373="S"), "Negado", "Aprovado"))))</f>
        <v>Aprovado</v>
      </c>
      <c r="O373" s="5" t="str">
        <f>IF(A373="Inativo", "Inativo", IF(A373="", "Negado", IF(COUNTIF(C:C, C373)&gt;1, "Negado", IF(AND(I373&gt;50000, L373="S"), "Negado", "Aprovado"))))</f>
        <v>Aprovado</v>
      </c>
      <c r="P373" s="2">
        <f>IF(OR(N373="Negado", O373="Negado", A373="", L373=""), 0, IF(A373="Ativo", M373*0.08, 0))</f>
        <v>0</v>
      </c>
    </row>
    <row r="374" spans="1:16">
      <c r="A374" s="5" t="s">
        <v>77</v>
      </c>
      <c r="B374" s="47" t="s">
        <v>89</v>
      </c>
      <c r="C374" s="47" t="s">
        <v>230</v>
      </c>
      <c r="D374" s="5">
        <v>39</v>
      </c>
      <c r="E374" s="8">
        <v>31693</v>
      </c>
      <c r="F374" t="s">
        <v>98</v>
      </c>
      <c r="G374" t="s">
        <v>103</v>
      </c>
      <c r="H374" s="9">
        <v>22200</v>
      </c>
      <c r="I374" s="9">
        <v>0</v>
      </c>
      <c r="J374" s="5">
        <v>3</v>
      </c>
      <c r="K374" s="5" t="str">
        <f>IF(J374&lt;=10, "Baixo", IF(J374&lt;=25, "Médio", "Alto"))</f>
        <v>Baixo</v>
      </c>
      <c r="L374" s="5" t="s">
        <v>876</v>
      </c>
      <c r="M374" s="2">
        <v>7000</v>
      </c>
      <c r="N374" s="5" t="str">
        <f>IF(A374="Inativo", "Inativo", IF(A374="", "Negado", IF(COUNTIF(C:C, C374)&gt;1, "Negado", IF(AND(K374="Alto", L374="S"), "Negado", "Aprovado"))))</f>
        <v>Inativo</v>
      </c>
      <c r="O374" s="5" t="str">
        <f>IF(A374="Inativo", "Inativo", IF(A374="", "Negado", IF(COUNTIF(C:C, C374)&gt;1, "Negado", IF(AND(I374&gt;50000, L374="S"), "Negado", "Aprovado"))))</f>
        <v>Inativo</v>
      </c>
      <c r="P374" s="2">
        <f>IF(OR(N374="Negado", O374="Negado", A374="", L374=""), 0, IF(A374="Ativo", M374*0.08, 0))</f>
        <v>0</v>
      </c>
    </row>
    <row r="375" spans="1:16">
      <c r="A375" s="5" t="s">
        <v>72</v>
      </c>
      <c r="B375" s="47" t="s">
        <v>732</v>
      </c>
      <c r="C375" s="47" t="s">
        <v>733</v>
      </c>
      <c r="D375" s="5">
        <v>39</v>
      </c>
      <c r="E375" s="8">
        <v>31968</v>
      </c>
      <c r="F375" t="s">
        <v>841</v>
      </c>
      <c r="G375" s="1" t="s">
        <v>137</v>
      </c>
      <c r="H375" s="9">
        <v>8000</v>
      </c>
      <c r="I375" s="9">
        <v>69000</v>
      </c>
      <c r="J375" s="5">
        <v>15</v>
      </c>
      <c r="K375" s="5" t="str">
        <f>IF(J375&lt;=10, "Baixo", IF(J375&lt;=25, "Médio", "Alto"))</f>
        <v>Médio</v>
      </c>
      <c r="L375" s="11" t="s">
        <v>874</v>
      </c>
      <c r="M375" s="2">
        <v>6500</v>
      </c>
      <c r="N375" s="5" t="str">
        <f>IF(A375="Inativo", "Inativo", IF(A375="", "Negado", IF(COUNTIF(C:C, C375)&gt;1, "Negado", IF(AND(K375="Alto", L375="S"), "Negado", "Aprovado"))))</f>
        <v>Negado</v>
      </c>
      <c r="O375" s="5" t="str">
        <f>IF(A375="Inativo", "Inativo", IF(A375="", "Negado", IF(COUNTIF(C:C, C375)&gt;1, "Negado", IF(AND(I375&gt;50000, L375="S"), "Negado", "Aprovado"))))</f>
        <v>Negado</v>
      </c>
      <c r="P375" s="2">
        <f>IF(OR(N375="Negado", O375="Negado", A375="", L375=""), 0, IF(A375="Ativo", M375*0.08, 0))</f>
        <v>0</v>
      </c>
    </row>
    <row r="376" spans="1:16">
      <c r="A376" s="5" t="s">
        <v>72</v>
      </c>
      <c r="B376" s="47" t="s">
        <v>486</v>
      </c>
      <c r="C376" s="47" t="s">
        <v>487</v>
      </c>
      <c r="D376" s="5">
        <v>55</v>
      </c>
      <c r="E376" s="8">
        <v>25925</v>
      </c>
      <c r="F376" t="s">
        <v>107</v>
      </c>
      <c r="G376" t="s">
        <v>108</v>
      </c>
      <c r="H376" s="9">
        <v>20200</v>
      </c>
      <c r="I376" s="9">
        <v>61000</v>
      </c>
      <c r="J376" s="5">
        <v>10</v>
      </c>
      <c r="K376" s="5" t="str">
        <f>IF(J376&lt;=10, "Baixo", IF(J376&lt;=25, "Médio", "Alto"))</f>
        <v>Baixo</v>
      </c>
      <c r="L376" s="5" t="s">
        <v>874</v>
      </c>
      <c r="M376" s="2">
        <v>6500</v>
      </c>
      <c r="N376" s="5" t="str">
        <f>IF(A376="Inativo", "Inativo", IF(A376="", "Negado", IF(COUNTIF(C:C, C376)&gt;1, "Negado", IF(AND(K376="Alto", L376="S"), "Negado", "Aprovado"))))</f>
        <v>Aprovado</v>
      </c>
      <c r="O376" s="5" t="str">
        <f>IF(A376="Inativo", "Inativo", IF(A376="", "Negado", IF(COUNTIF(C:C, C376)&gt;1, "Negado", IF(AND(I376&gt;50000, L376="S"), "Negado", "Aprovado"))))</f>
        <v>Aprovado</v>
      </c>
      <c r="P376" s="2">
        <f>IF(OR(N376="Negado", O376="Negado", A376="", L376=""), 0, IF(A376="Ativo", M376*0.08, 0))</f>
        <v>520</v>
      </c>
    </row>
    <row r="377" spans="1:16">
      <c r="A377" s="5" t="s">
        <v>72</v>
      </c>
      <c r="B377" s="47" t="s">
        <v>466</v>
      </c>
      <c r="C377" s="47" t="s">
        <v>467</v>
      </c>
      <c r="D377" s="5">
        <v>51</v>
      </c>
      <c r="E377" s="8">
        <v>27505</v>
      </c>
      <c r="F377" t="s">
        <v>240</v>
      </c>
      <c r="G377" s="1" t="s">
        <v>453</v>
      </c>
      <c r="H377" s="9">
        <v>7200</v>
      </c>
      <c r="I377" s="9">
        <v>17500</v>
      </c>
      <c r="J377" s="5">
        <v>40</v>
      </c>
      <c r="K377" s="5" t="str">
        <f>IF(J377&lt;=10, "Baixo", IF(J377&lt;=25, "Médio", "Alto"))</f>
        <v>Alto</v>
      </c>
      <c r="L377" s="5" t="s">
        <v>876</v>
      </c>
      <c r="M377" s="2">
        <v>5500</v>
      </c>
      <c r="N377" s="5" t="str">
        <f>IF(A377="Inativo", "Inativo", IF(A377="", "Negado", IF(COUNTIF(C:C, C377)&gt;1, "Negado", IF(AND(K377="Alto", L377="S"), "Negado", "Aprovado"))))</f>
        <v>Negado</v>
      </c>
      <c r="O377" s="5" t="str">
        <f>IF(A377="Inativo", "Inativo", IF(A377="", "Negado", IF(COUNTIF(C:C, C377)&gt;1, "Negado", IF(AND(I377&gt;50000, L377="S"), "Negado", "Aprovado"))))</f>
        <v>Aprovado</v>
      </c>
      <c r="P377" s="2">
        <f>IF(OR(N377="Negado", O377="Negado", A377="", L377=""), 0, IF(A377="Ativo", M377*0.08, 0))</f>
        <v>0</v>
      </c>
    </row>
    <row r="378" spans="1:16">
      <c r="A378" s="5" t="s">
        <v>72</v>
      </c>
      <c r="B378" s="47" t="s">
        <v>734</v>
      </c>
      <c r="C378" s="47" t="s">
        <v>735</v>
      </c>
      <c r="D378" s="5">
        <v>19</v>
      </c>
      <c r="E378" s="8">
        <v>39003</v>
      </c>
      <c r="F378" t="s">
        <v>149</v>
      </c>
      <c r="G378" t="s">
        <v>137</v>
      </c>
      <c r="H378" s="9">
        <v>4000</v>
      </c>
      <c r="I378" s="9">
        <v>29500</v>
      </c>
      <c r="J378" s="5">
        <v>13</v>
      </c>
      <c r="K378" s="5" t="str">
        <f>IF(J378&lt;=10, "Baixo", IF(J378&lt;=25, "Médio", "Alto"))</f>
        <v>Médio</v>
      </c>
      <c r="L378" s="5" t="s">
        <v>876</v>
      </c>
      <c r="M378" s="2">
        <v>5000</v>
      </c>
      <c r="N378" s="5" t="str">
        <f>IF(A378="Inativo", "Inativo", IF(A378="", "Negado", IF(COUNTIF(C:C, C378)&gt;1, "Negado", IF(AND(K378="Alto", L378="S"), "Negado", "Aprovado"))))</f>
        <v>Aprovado</v>
      </c>
      <c r="O378" s="5" t="str">
        <f>IF(A378="Inativo", "Inativo", IF(A378="", "Negado", IF(COUNTIF(C:C, C378)&gt;1, "Negado", IF(AND(I378&gt;50000, L378="S"), "Negado", "Aprovado"))))</f>
        <v>Aprovado</v>
      </c>
      <c r="P378" s="2">
        <f>IF(OR(N378="Negado", O378="Negado", A378="", L378=""), 0, IF(A378="Ativo", M378*0.08, 0))</f>
        <v>400</v>
      </c>
    </row>
    <row r="379" spans="1:16">
      <c r="A379" s="5" t="s">
        <v>72</v>
      </c>
      <c r="B379" s="47" t="s">
        <v>539</v>
      </c>
      <c r="C379" s="47" t="s">
        <v>540</v>
      </c>
      <c r="D379" s="5">
        <v>64</v>
      </c>
      <c r="E379" s="8">
        <v>22886</v>
      </c>
      <c r="F379" t="s">
        <v>107</v>
      </c>
      <c r="G379" t="s">
        <v>108</v>
      </c>
      <c r="H379" s="9">
        <v>8800</v>
      </c>
      <c r="I379" s="9">
        <v>66000</v>
      </c>
      <c r="J379" s="5">
        <v>28</v>
      </c>
      <c r="K379" s="5" t="str">
        <f>IF(J379&lt;=10, "Baixo", IF(J379&lt;=25, "Médio", "Alto"))</f>
        <v>Alto</v>
      </c>
      <c r="L379" s="5" t="s">
        <v>874</v>
      </c>
      <c r="M379" s="2">
        <v>5000</v>
      </c>
      <c r="N379" s="5" t="str">
        <f>IF(A379="Inativo", "Inativo", IF(A379="", "Negado", IF(COUNTIF(C:C, C379)&gt;1, "Negado", IF(AND(K379="Alto", L379="S"), "Negado", "Aprovado"))))</f>
        <v>Aprovado</v>
      </c>
      <c r="O379" s="5" t="str">
        <f>IF(A379="Inativo", "Inativo", IF(A379="", "Negado", IF(COUNTIF(C:C, C379)&gt;1, "Negado", IF(AND(I379&gt;50000, L379="S"), "Negado", "Aprovado"))))</f>
        <v>Aprovado</v>
      </c>
      <c r="P379" s="2">
        <f>IF(OR(N379="Negado", O379="Negado", A379="", L379=""), 0, IF(A379="Ativo", M379*0.08, 0))</f>
        <v>400</v>
      </c>
    </row>
    <row r="380" spans="1:16">
      <c r="A380" s="5" t="s">
        <v>77</v>
      </c>
      <c r="B380" s="47" t="s">
        <v>782</v>
      </c>
      <c r="C380" s="47" t="s">
        <v>1005</v>
      </c>
      <c r="D380" s="5">
        <v>36</v>
      </c>
      <c r="E380" s="8">
        <v>32890</v>
      </c>
      <c r="F380" t="s">
        <v>133</v>
      </c>
      <c r="G380" t="s">
        <v>134</v>
      </c>
      <c r="H380" s="9">
        <v>28100</v>
      </c>
      <c r="I380" s="9">
        <v>36500</v>
      </c>
      <c r="J380" s="5">
        <v>13</v>
      </c>
      <c r="K380" s="5" t="str">
        <f>IF(J380&lt;=10, "Baixo", IF(J380&lt;=25, "Médio", "Alto"))</f>
        <v>Médio</v>
      </c>
      <c r="L380" s="5" t="s">
        <v>874</v>
      </c>
      <c r="M380" s="2">
        <v>5000</v>
      </c>
      <c r="N380" s="5" t="str">
        <f>IF(A380="Inativo", "Inativo", IF(A380="", "Negado", IF(COUNTIF(C:C, C380)&gt;1, "Negado", IF(AND(K380="Alto", L380="S"), "Negado", "Aprovado"))))</f>
        <v>Inativo</v>
      </c>
      <c r="O380" s="5" t="str">
        <f>IF(A380="Inativo", "Inativo", IF(A380="", "Negado", IF(COUNTIF(C:C, C380)&gt;1, "Negado", IF(AND(I380&gt;50000, L380="S"), "Negado", "Aprovado"))))</f>
        <v>Inativo</v>
      </c>
      <c r="P380" s="2">
        <f>IF(OR(N380="Negado", O380="Negado", A380="", L380=""), 0, IF(A380="Ativo", M380*0.08, 0))</f>
        <v>0</v>
      </c>
    </row>
    <row r="381" spans="1:16">
      <c r="A381" s="5" t="s">
        <v>77</v>
      </c>
      <c r="B381" s="47" t="s">
        <v>1006</v>
      </c>
      <c r="C381" s="47" t="s">
        <v>378</v>
      </c>
      <c r="D381" s="5">
        <v>63</v>
      </c>
      <c r="E381" s="8">
        <v>22994</v>
      </c>
      <c r="F381" t="s">
        <v>107</v>
      </c>
      <c r="G381" t="s">
        <v>108</v>
      </c>
      <c r="H381" s="9">
        <v>20000</v>
      </c>
      <c r="I381" s="9">
        <v>29500</v>
      </c>
      <c r="J381" s="5">
        <v>42</v>
      </c>
      <c r="K381" s="5" t="str">
        <f>IF(J381&lt;=10, "Baixo", IF(J381&lt;=25, "Médio", "Alto"))</f>
        <v>Alto</v>
      </c>
      <c r="L381" s="5" t="s">
        <v>874</v>
      </c>
      <c r="M381" s="2">
        <v>5000</v>
      </c>
      <c r="N381" s="5" t="str">
        <f>IF(A381="Inativo", "Inativo", IF(A381="", "Negado", IF(COUNTIF(C:C, C381)&gt;1, "Negado", IF(AND(K381="Alto", L381="S"), "Negado", "Aprovado"))))</f>
        <v>Inativo</v>
      </c>
      <c r="O381" s="5" t="str">
        <f>IF(A381="Inativo", "Inativo", IF(A381="", "Negado", IF(COUNTIF(C:C, C381)&gt;1, "Negado", IF(AND(I381&gt;50000, L381="S"), "Negado", "Aprovado"))))</f>
        <v>Inativo</v>
      </c>
      <c r="P381" s="2">
        <f>IF(OR(N381="Negado", O381="Negado", A381="", L381=""), 0, IF(A381="Ativo", M381*0.08, 0))</f>
        <v>0</v>
      </c>
    </row>
    <row r="382" spans="1:16">
      <c r="A382" s="5" t="s">
        <v>77</v>
      </c>
      <c r="B382" s="47" t="s">
        <v>789</v>
      </c>
      <c r="C382" s="47" t="s">
        <v>1007</v>
      </c>
      <c r="D382" s="5">
        <v>27</v>
      </c>
      <c r="E382" s="8">
        <v>36151</v>
      </c>
      <c r="F382" t="s">
        <v>165</v>
      </c>
      <c r="G382" t="s">
        <v>137</v>
      </c>
      <c r="H382" s="9">
        <v>25900</v>
      </c>
      <c r="I382" s="9">
        <v>0</v>
      </c>
      <c r="J382" s="5">
        <v>10</v>
      </c>
      <c r="K382" s="5" t="str">
        <f>IF(J382&lt;=10, "Baixo", IF(J382&lt;=25, "Médio", "Alto"))</f>
        <v>Baixo</v>
      </c>
      <c r="L382" s="5" t="s">
        <v>876</v>
      </c>
      <c r="M382" s="2">
        <v>5000</v>
      </c>
      <c r="N382" s="5" t="str">
        <f>IF(A382="Inativo", "Inativo", IF(A382="", "Negado", IF(COUNTIF(C:C, C382)&gt;1, "Negado", IF(AND(K382="Alto", L382="S"), "Negado", "Aprovado"))))</f>
        <v>Inativo</v>
      </c>
      <c r="O382" s="5" t="str">
        <f>IF(A382="Inativo", "Inativo", IF(A382="", "Negado", IF(COUNTIF(C:C, C382)&gt;1, "Negado", IF(AND(I382&gt;50000, L382="S"), "Negado", "Aprovado"))))</f>
        <v>Inativo</v>
      </c>
      <c r="P382" s="2">
        <f>IF(OR(N382="Negado", O382="Negado", A382="", L382=""), 0, IF(A382="Ativo", M382*0.08, 0))</f>
        <v>0</v>
      </c>
    </row>
    <row r="383" spans="1:16">
      <c r="A383" s="5" t="s">
        <v>72</v>
      </c>
      <c r="B383" s="47" t="s">
        <v>1008</v>
      </c>
      <c r="C383" s="47" t="s">
        <v>1009</v>
      </c>
      <c r="D383" s="5">
        <v>44</v>
      </c>
      <c r="E383" s="8">
        <v>30081</v>
      </c>
      <c r="F383" t="s">
        <v>122</v>
      </c>
      <c r="G383" t="s">
        <v>117</v>
      </c>
      <c r="H383" s="9">
        <v>9600</v>
      </c>
      <c r="I383" s="9">
        <v>66000</v>
      </c>
      <c r="J383" s="5">
        <v>11</v>
      </c>
      <c r="K383" s="5" t="str">
        <f>IF(J383&lt;=10, "Baixo", IF(J383&lt;=25, "Médio", "Alto"))</f>
        <v>Médio</v>
      </c>
      <c r="M383" s="2">
        <v>4500</v>
      </c>
      <c r="N383" s="5" t="str">
        <f>IF(A383="Inativo", "Inativo", IF(A383="", "Negado", IF(COUNTIF(C:C, C383)&gt;1, "Negado", IF(AND(K383="Alto", L383="S"), "Negado", "Aprovado"))))</f>
        <v>Aprovado</v>
      </c>
      <c r="O383" s="5" t="str">
        <f>IF(A383="Inativo", "Inativo", IF(A383="", "Negado", IF(COUNTIF(C:C, C383)&gt;1, "Negado", IF(AND(I383&gt;50000, L383="S"), "Negado", "Aprovado"))))</f>
        <v>Aprovado</v>
      </c>
      <c r="P383" s="2">
        <f>IF(OR(N383="Negado", O383="Negado", A383="", L383=""), 0, IF(A383="Ativo", M383*0.08, 0))</f>
        <v>0</v>
      </c>
    </row>
    <row r="384" spans="1:16">
      <c r="A384" s="5" t="s">
        <v>72</v>
      </c>
      <c r="B384" s="47" t="s">
        <v>289</v>
      </c>
      <c r="C384" s="47" t="s">
        <v>290</v>
      </c>
      <c r="D384" s="5">
        <v>27</v>
      </c>
      <c r="E384" s="8">
        <v>36308</v>
      </c>
      <c r="F384" t="s">
        <v>133</v>
      </c>
      <c r="G384" t="s">
        <v>134</v>
      </c>
      <c r="H384" s="9">
        <v>5300</v>
      </c>
      <c r="I384" s="9">
        <v>22000</v>
      </c>
      <c r="J384" s="5">
        <v>11</v>
      </c>
      <c r="K384" s="5" t="str">
        <f>IF(J384&lt;=10, "Baixo", IF(J384&lt;=25, "Médio", "Alto"))</f>
        <v>Médio</v>
      </c>
      <c r="L384" s="5" t="s">
        <v>874</v>
      </c>
      <c r="M384" s="2">
        <v>4500</v>
      </c>
      <c r="N384" s="5" t="str">
        <f>IF(A384="Inativo", "Inativo", IF(A384="", "Negado", IF(COUNTIF(C:C, C384)&gt;1, "Negado", IF(AND(K384="Alto", L384="S"), "Negado", "Aprovado"))))</f>
        <v>Negado</v>
      </c>
      <c r="O384" s="5" t="str">
        <f>IF(A384="Inativo", "Inativo", IF(A384="", "Negado", IF(COUNTIF(C:C, C384)&gt;1, "Negado", IF(AND(I384&gt;50000, L384="S"), "Negado", "Aprovado"))))</f>
        <v>Negado</v>
      </c>
      <c r="P384" s="2">
        <f>IF(OR(N384="Negado", O384="Negado", A384="", L384=""), 0, IF(A384="Ativo", M384*0.08, 0))</f>
        <v>0</v>
      </c>
    </row>
    <row r="385" spans="1:16">
      <c r="A385" s="5" t="s">
        <v>72</v>
      </c>
      <c r="B385" s="47" t="s">
        <v>338</v>
      </c>
      <c r="C385" s="47" t="s">
        <v>339</v>
      </c>
      <c r="D385" s="5">
        <v>34</v>
      </c>
      <c r="E385" s="8">
        <v>33835</v>
      </c>
      <c r="F385" t="s">
        <v>168</v>
      </c>
      <c r="G385" s="1" t="s">
        <v>144</v>
      </c>
      <c r="H385" s="9">
        <v>5100</v>
      </c>
      <c r="I385" s="9">
        <v>17000</v>
      </c>
      <c r="J385" s="5">
        <v>3</v>
      </c>
      <c r="K385" s="5" t="str">
        <f>IF(J385&lt;=10, "Baixo", IF(J385&lt;=25, "Médio", "Alto"))</f>
        <v>Baixo</v>
      </c>
      <c r="L385" s="5" t="s">
        <v>874</v>
      </c>
      <c r="M385" s="2">
        <v>4500</v>
      </c>
      <c r="N385" s="5" t="str">
        <f>IF(A385="Inativo", "Inativo", IF(A385="", "Negado", IF(COUNTIF(C:C, C385)&gt;1, "Negado", IF(AND(K385="Alto", L385="S"), "Negado", "Aprovado"))))</f>
        <v>Aprovado</v>
      </c>
      <c r="O385" s="5" t="str">
        <f>IF(A385="Inativo", "Inativo", IF(A385="", "Negado", IF(COUNTIF(C:C, C385)&gt;1, "Negado", IF(AND(I385&gt;50000, L385="S"), "Negado", "Aprovado"))))</f>
        <v>Aprovado</v>
      </c>
      <c r="P385" s="2">
        <f>IF(OR(N385="Negado", O385="Negado", A385="", L385=""), 0, IF(A385="Ativo", M385*0.08, 0))</f>
        <v>360</v>
      </c>
    </row>
    <row r="386" spans="1:16">
      <c r="A386" s="5" t="s">
        <v>72</v>
      </c>
      <c r="B386" s="47" t="s">
        <v>1010</v>
      </c>
      <c r="C386" s="47" t="s">
        <v>188</v>
      </c>
      <c r="D386" s="5">
        <v>44</v>
      </c>
      <c r="E386" s="8">
        <v>29975</v>
      </c>
      <c r="F386" t="s">
        <v>98</v>
      </c>
      <c r="G386" t="s">
        <v>103</v>
      </c>
      <c r="H386" s="9">
        <v>5300</v>
      </c>
      <c r="I386" s="9">
        <v>6000</v>
      </c>
      <c r="J386" s="5">
        <v>1</v>
      </c>
      <c r="K386" s="5" t="str">
        <f>IF(J386&lt;=10, "Baixo", IF(J386&lt;=25, "Médio", "Alto"))</f>
        <v>Baixo</v>
      </c>
      <c r="L386" s="5" t="s">
        <v>876</v>
      </c>
      <c r="M386" s="2">
        <v>4500</v>
      </c>
      <c r="N386" s="5" t="str">
        <f>IF(A386="Inativo", "Inativo", IF(A386="", "Negado", IF(COUNTIF(C:C, C386)&gt;1, "Negado", IF(AND(K386="Alto", L386="S"), "Negado", "Aprovado"))))</f>
        <v>Aprovado</v>
      </c>
      <c r="O386" s="5" t="str">
        <f>IF(A386="Inativo", "Inativo", IF(A386="", "Negado", IF(COUNTIF(C:C, C386)&gt;1, "Negado", IF(AND(I386&gt;50000, L386="S"), "Negado", "Aprovado"))))</f>
        <v>Aprovado</v>
      </c>
      <c r="P386" s="2">
        <f>IF(OR(N386="Negado", O386="Negado", A386="", L386=""), 0, IF(A386="Ativo", M386*0.08, 0))</f>
        <v>360</v>
      </c>
    </row>
    <row r="387" spans="1:16">
      <c r="A387" s="5" t="s">
        <v>72</v>
      </c>
      <c r="B387" s="47" t="s">
        <v>661</v>
      </c>
      <c r="C387" s="47" t="s">
        <v>662</v>
      </c>
      <c r="D387" s="5">
        <v>33</v>
      </c>
      <c r="E387" s="8">
        <v>34070</v>
      </c>
      <c r="F387" t="s">
        <v>300</v>
      </c>
      <c r="G387" t="s">
        <v>301</v>
      </c>
      <c r="H387" s="9">
        <v>29300</v>
      </c>
      <c r="I387" s="9">
        <v>69000</v>
      </c>
      <c r="J387" s="5">
        <v>0</v>
      </c>
      <c r="K387" s="5" t="str">
        <f>IF(J387&lt;=10, "Baixo", IF(J387&lt;=25, "Médio", "Alto"))</f>
        <v>Baixo</v>
      </c>
      <c r="L387" s="5" t="s">
        <v>876</v>
      </c>
      <c r="M387" s="2">
        <v>4500</v>
      </c>
      <c r="N387" s="5" t="str">
        <f>IF(A387="Inativo", "Inativo", IF(A387="", "Negado", IF(COUNTIF(C:C, C387)&gt;1, "Negado", IF(AND(K387="Alto", L387="S"), "Negado", "Aprovado"))))</f>
        <v>Aprovado</v>
      </c>
      <c r="O387" s="5" t="str">
        <f>IF(A387="Inativo", "Inativo", IF(A387="", "Negado", IF(COUNTIF(C:C, C387)&gt;1, "Negado", IF(AND(I387&gt;50000, L387="S"), "Negado", "Aprovado"))))</f>
        <v>Negado</v>
      </c>
      <c r="P387" s="2">
        <f>IF(OR(N387="Negado", O387="Negado", A387="", L387=""), 0, IF(A387="Ativo", M387*0.08, 0))</f>
        <v>0</v>
      </c>
    </row>
    <row r="388" spans="1:16">
      <c r="A388" s="5" t="s">
        <v>77</v>
      </c>
      <c r="B388" s="47" t="s">
        <v>258</v>
      </c>
      <c r="C388" s="47" t="s">
        <v>259</v>
      </c>
      <c r="D388" s="5">
        <v>46</v>
      </c>
      <c r="E388" s="8">
        <v>29113</v>
      </c>
      <c r="F388" t="s">
        <v>157</v>
      </c>
      <c r="G388" t="s">
        <v>137</v>
      </c>
      <c r="H388" s="9">
        <v>15000</v>
      </c>
      <c r="I388" s="10">
        <v>0</v>
      </c>
      <c r="J388" s="5">
        <v>40</v>
      </c>
      <c r="K388" s="5" t="str">
        <f>IF(J388&lt;=10, "Baixo", IF(J388&lt;=25, "Médio", "Alto"))</f>
        <v>Alto</v>
      </c>
      <c r="L388" s="5" t="s">
        <v>874</v>
      </c>
      <c r="M388" s="2">
        <v>4500</v>
      </c>
      <c r="N388" s="5" t="str">
        <f>IF(A388="Inativo", "Inativo", IF(A388="", "Negado", IF(COUNTIF(C:C, C388)&gt;1, "Negado", IF(AND(K388="Alto", L388="S"), "Negado", "Aprovado"))))</f>
        <v>Inativo</v>
      </c>
      <c r="O388" s="5" t="str">
        <f>IF(A388="Inativo", "Inativo", IF(A388="", "Negado", IF(COUNTIF(C:C, C388)&gt;1, "Negado", IF(AND(I388&gt;50000, L388="S"), "Negado", "Aprovado"))))</f>
        <v>Inativo</v>
      </c>
      <c r="P388" s="2">
        <f>IF(OR(N388="Negado", O388="Negado", A388="", L388=""), 0, IF(A388="Ativo", M388*0.08, 0))</f>
        <v>0</v>
      </c>
    </row>
    <row r="389" spans="1:16">
      <c r="A389" s="5" t="s">
        <v>72</v>
      </c>
      <c r="B389" s="47" t="s">
        <v>703</v>
      </c>
      <c r="C389" s="47" t="s">
        <v>704</v>
      </c>
      <c r="D389" s="5">
        <v>22</v>
      </c>
      <c r="E389" s="8">
        <v>37936</v>
      </c>
      <c r="F389" t="s">
        <v>75</v>
      </c>
      <c r="G389" t="s">
        <v>76</v>
      </c>
      <c r="H389" s="9">
        <v>4100</v>
      </c>
      <c r="I389" s="9">
        <v>2000</v>
      </c>
      <c r="J389" s="5">
        <v>8</v>
      </c>
      <c r="K389" s="5" t="str">
        <f>IF(J389&lt;=10, "Baixo", IF(J389&lt;=25, "Médio", "Alto"))</f>
        <v>Baixo</v>
      </c>
      <c r="L389" s="5" t="s">
        <v>874</v>
      </c>
      <c r="M389" s="2">
        <v>4000</v>
      </c>
      <c r="N389" s="5" t="str">
        <f>IF(A389="Inativo", "Inativo", IF(A389="", "Negado", IF(COUNTIF(C:C, C389)&gt;1, "Negado", IF(AND(K389="Alto", L389="S"), "Negado", "Aprovado"))))</f>
        <v>Aprovado</v>
      </c>
      <c r="O389" s="5" t="str">
        <f>IF(A389="Inativo", "Inativo", IF(A389="", "Negado", IF(COUNTIF(C:C, C389)&gt;1, "Negado", IF(AND(I389&gt;50000, L389="S"), "Negado", "Aprovado"))))</f>
        <v>Aprovado</v>
      </c>
      <c r="P389" s="2">
        <f>IF(OR(N389="Negado", O389="Negado", A389="", L389=""), 0, IF(A389="Ativo", M389*0.08, 0))</f>
        <v>320</v>
      </c>
    </row>
    <row r="390" spans="1:16">
      <c r="A390" s="5" t="s">
        <v>72</v>
      </c>
      <c r="B390" s="47" t="s">
        <v>811</v>
      </c>
      <c r="C390" s="47" t="s">
        <v>812</v>
      </c>
      <c r="D390" s="5">
        <v>53</v>
      </c>
      <c r="E390" s="8">
        <v>26790</v>
      </c>
      <c r="F390" t="s">
        <v>122</v>
      </c>
      <c r="G390" t="s">
        <v>117</v>
      </c>
      <c r="H390" s="9">
        <v>0</v>
      </c>
      <c r="I390" s="9">
        <v>21500</v>
      </c>
      <c r="J390" s="5">
        <v>44</v>
      </c>
      <c r="K390" s="5" t="str">
        <f>IF(J390&lt;=10, "Baixo", IF(J390&lt;=25, "Médio", "Alto"))</f>
        <v>Alto</v>
      </c>
      <c r="L390" s="5" t="s">
        <v>876</v>
      </c>
      <c r="M390" s="2">
        <v>3500</v>
      </c>
      <c r="N390" s="5" t="str">
        <f>IF(A390="Inativo", "Inativo", IF(A390="", "Negado", IF(COUNTIF(C:C, C390)&gt;1, "Negado", IF(AND(K390="Alto", L390="S"), "Negado", "Aprovado"))))</f>
        <v>Negado</v>
      </c>
      <c r="O390" s="5" t="str">
        <f>IF(A390="Inativo", "Inativo", IF(A390="", "Negado", IF(COUNTIF(C:C, C390)&gt;1, "Negado", IF(AND(I390&gt;50000, L390="S"), "Negado", "Aprovado"))))</f>
        <v>Aprovado</v>
      </c>
      <c r="P390" s="2">
        <f>IF(OR(N390="Negado", O390="Negado", A390="", L390=""), 0, IF(A390="Ativo", M390*0.08, 0))</f>
        <v>0</v>
      </c>
    </row>
    <row r="391" spans="1:16">
      <c r="A391" s="5" t="s">
        <v>72</v>
      </c>
      <c r="B391" s="47" t="s">
        <v>822</v>
      </c>
      <c r="C391" s="47" t="s">
        <v>941</v>
      </c>
      <c r="D391" s="5">
        <v>31</v>
      </c>
      <c r="E391" s="8">
        <v>34914</v>
      </c>
      <c r="F391" t="s">
        <v>107</v>
      </c>
      <c r="G391" t="s">
        <v>108</v>
      </c>
      <c r="H391" s="9">
        <v>20800</v>
      </c>
      <c r="I391" s="9">
        <v>17500</v>
      </c>
      <c r="J391" s="5">
        <v>35</v>
      </c>
      <c r="K391" s="5" t="str">
        <f>IF(J391&lt;=10, "Baixo", IF(J391&lt;=25, "Médio", "Alto"))</f>
        <v>Alto</v>
      </c>
      <c r="L391" s="5" t="s">
        <v>874</v>
      </c>
      <c r="M391" s="2">
        <v>3300</v>
      </c>
      <c r="N391" s="5" t="str">
        <f>IF(A391="Inativo", "Inativo", IF(A391="", "Negado", IF(COUNTIF(C:C, C391)&gt;1, "Negado", IF(AND(K391="Alto", L391="S"), "Negado", "Aprovado"))))</f>
        <v>Negado</v>
      </c>
      <c r="O391" s="5" t="str">
        <f>IF(A391="Inativo", "Inativo", IF(A391="", "Negado", IF(COUNTIF(C:C, C391)&gt;1, "Negado", IF(AND(I391&gt;50000, L391="S"), "Negado", "Aprovado"))))</f>
        <v>Negado</v>
      </c>
      <c r="P391" s="2">
        <f>IF(OR(N391="Negado", O391="Negado", A391="", L391=""), 0, IF(A391="Ativo", M391*0.08, 0))</f>
        <v>0</v>
      </c>
    </row>
    <row r="392" spans="1:16">
      <c r="A392" s="5" t="s">
        <v>72</v>
      </c>
      <c r="B392" s="47" t="s">
        <v>542</v>
      </c>
      <c r="C392" s="47" t="s">
        <v>1011</v>
      </c>
      <c r="D392" s="5">
        <v>49</v>
      </c>
      <c r="E392" s="8">
        <v>28330</v>
      </c>
      <c r="F392" t="s">
        <v>122</v>
      </c>
      <c r="G392" t="s">
        <v>117</v>
      </c>
      <c r="H392" s="9">
        <v>11500</v>
      </c>
      <c r="I392" s="9">
        <v>44500</v>
      </c>
      <c r="J392" s="5">
        <v>45</v>
      </c>
      <c r="K392" s="5" t="str">
        <f>IF(J392&lt;=10, "Baixo", IF(J392&lt;=25, "Médio", "Alto"))</f>
        <v>Alto</v>
      </c>
      <c r="L392" s="5" t="s">
        <v>874</v>
      </c>
      <c r="M392" s="2">
        <v>3000</v>
      </c>
      <c r="N392" s="5" t="str">
        <f>IF(A392="Inativo", "Inativo", IF(A392="", "Negado", IF(COUNTIF(C:C, C392)&gt;1, "Negado", IF(AND(K392="Alto", L392="S"), "Negado", "Aprovado"))))</f>
        <v>Aprovado</v>
      </c>
      <c r="O392" s="5" t="str">
        <f>IF(A392="Inativo", "Inativo", IF(A392="", "Negado", IF(COUNTIF(C:C, C392)&gt;1, "Negado", IF(AND(I392&gt;50000, L392="S"), "Negado", "Aprovado"))))</f>
        <v>Aprovado</v>
      </c>
      <c r="P392" s="2">
        <f>IF(OR(N392="Negado", O392="Negado", A392="", L392=""), 0, IF(A392="Ativo", M392*0.08, 0))</f>
        <v>240</v>
      </c>
    </row>
    <row r="393" spans="1:16">
      <c r="A393" s="5" t="s">
        <v>72</v>
      </c>
      <c r="B393" s="47" t="s">
        <v>414</v>
      </c>
      <c r="C393" s="47" t="s">
        <v>415</v>
      </c>
      <c r="D393" s="5">
        <v>47</v>
      </c>
      <c r="F393" t="s">
        <v>122</v>
      </c>
      <c r="G393" t="s">
        <v>117</v>
      </c>
      <c r="H393" s="9">
        <v>11600</v>
      </c>
      <c r="I393" s="9">
        <v>63500</v>
      </c>
      <c r="J393" s="5">
        <v>18</v>
      </c>
      <c r="K393" s="5" t="str">
        <f>IF(J393&lt;=10, "Baixo", IF(J393&lt;=25, "Médio", "Alto"))</f>
        <v>Médio</v>
      </c>
      <c r="L393" s="5" t="s">
        <v>874</v>
      </c>
      <c r="M393" s="2">
        <v>3000</v>
      </c>
      <c r="N393" s="5" t="str">
        <f>IF(A393="Inativo", "Inativo", IF(A393="", "Negado", IF(COUNTIF(C:C, C393)&gt;1, "Negado", IF(AND(K393="Alto", L393="S"), "Negado", "Aprovado"))))</f>
        <v>Aprovado</v>
      </c>
      <c r="O393" s="5" t="str">
        <f>IF(A393="Inativo", "Inativo", IF(A393="", "Negado", IF(COUNTIF(C:C, C393)&gt;1, "Negado", IF(AND(I393&gt;50000, L393="S"), "Negado", "Aprovado"))))</f>
        <v>Aprovado</v>
      </c>
      <c r="P393" s="2">
        <f>IF(OR(N393="Negado", O393="Negado", A393="", L393=""), 0, IF(A393="Ativo", M393*0.08, 0))</f>
        <v>240</v>
      </c>
    </row>
    <row r="394" spans="1:16">
      <c r="A394" s="5" t="s">
        <v>72</v>
      </c>
      <c r="B394" s="47" t="s">
        <v>599</v>
      </c>
      <c r="C394" s="47" t="s">
        <v>600</v>
      </c>
      <c r="D394" s="5">
        <v>39</v>
      </c>
      <c r="E394" s="8">
        <v>31814</v>
      </c>
      <c r="F394" t="s">
        <v>149</v>
      </c>
      <c r="G394" t="s">
        <v>137</v>
      </c>
      <c r="H394" s="9">
        <v>9300</v>
      </c>
      <c r="I394" s="9">
        <v>36500</v>
      </c>
      <c r="K394" s="5" t="str">
        <f>IF(J394&lt;=10, "Baixo", IF(J394&lt;=25, "Médio", "Alto"))</f>
        <v>Baixo</v>
      </c>
      <c r="L394" s="5" t="s">
        <v>874</v>
      </c>
      <c r="M394" s="2">
        <v>3000</v>
      </c>
      <c r="N394" s="5" t="str">
        <f>IF(A394="Inativo", "Inativo", IF(A394="", "Negado", IF(COUNTIF(C:C, C394)&gt;1, "Negado", IF(AND(K394="Alto", L394="S"), "Negado", "Aprovado"))))</f>
        <v>Aprovado</v>
      </c>
      <c r="O394" s="5" t="str">
        <f>IF(A394="Inativo", "Inativo", IF(A394="", "Negado", IF(COUNTIF(C:C, C394)&gt;1, "Negado", IF(AND(I394&gt;50000, L394="S"), "Negado", "Aprovado"))))</f>
        <v>Aprovado</v>
      </c>
      <c r="P394" s="2">
        <f>IF(OR(N394="Negado", O394="Negado", A394="", L394=""), 0, IF(A394="Ativo", M394*0.08, 0))</f>
        <v>240</v>
      </c>
    </row>
    <row r="395" spans="1:16">
      <c r="A395" s="5" t="s">
        <v>72</v>
      </c>
      <c r="B395" s="47" t="s">
        <v>224</v>
      </c>
      <c r="C395" s="47" t="s">
        <v>1012</v>
      </c>
      <c r="D395" s="5">
        <v>73</v>
      </c>
      <c r="E395" s="8">
        <v>19588</v>
      </c>
      <c r="F395" t="s">
        <v>157</v>
      </c>
      <c r="G395" t="s">
        <v>137</v>
      </c>
      <c r="H395" s="9">
        <v>28600</v>
      </c>
      <c r="I395" s="9">
        <v>40500</v>
      </c>
      <c r="J395" s="5">
        <v>20</v>
      </c>
      <c r="K395" s="5" t="str">
        <f>IF(J395&lt;=10, "Baixo", IF(J395&lt;=25, "Médio", "Alto"))</f>
        <v>Médio</v>
      </c>
      <c r="L395" s="5" t="s">
        <v>874</v>
      </c>
      <c r="M395" s="2">
        <v>2500</v>
      </c>
      <c r="N395" s="5" t="str">
        <f>IF(A395="Inativo", "Inativo", IF(A395="", "Negado", IF(COUNTIF(C:C, C395)&gt;1, "Negado", IF(AND(K395="Alto", L395="S"), "Negado", "Aprovado"))))</f>
        <v>Aprovado</v>
      </c>
      <c r="O395" s="5" t="str">
        <f>IF(A395="Inativo", "Inativo", IF(A395="", "Negado", IF(COUNTIF(C:C, C395)&gt;1, "Negado", IF(AND(I395&gt;50000, L395="S"), "Negado", "Aprovado"))))</f>
        <v>Aprovado</v>
      </c>
      <c r="P395" s="2">
        <f>IF(OR(N395="Negado", O395="Negado", A395="", L395=""), 0, IF(A395="Ativo", M395*0.08, 0))</f>
        <v>200</v>
      </c>
    </row>
    <row r="396" spans="1:16">
      <c r="A396" s="5" t="s">
        <v>72</v>
      </c>
      <c r="B396" s="47" t="s">
        <v>497</v>
      </c>
      <c r="C396" s="47" t="s">
        <v>498</v>
      </c>
      <c r="D396" s="5">
        <v>74</v>
      </c>
      <c r="E396" s="8">
        <v>19168</v>
      </c>
      <c r="F396" t="s">
        <v>107</v>
      </c>
      <c r="G396" t="s">
        <v>108</v>
      </c>
      <c r="H396" s="9">
        <v>25000</v>
      </c>
      <c r="I396" s="9">
        <v>0</v>
      </c>
      <c r="J396" s="5">
        <v>3</v>
      </c>
      <c r="K396" s="5" t="str">
        <f>IF(J396&lt;=10, "Baixo", IF(J396&lt;=25, "Médio", "Alto"))</f>
        <v>Baixo</v>
      </c>
      <c r="L396" s="5" t="s">
        <v>874</v>
      </c>
      <c r="M396" s="2">
        <v>2500</v>
      </c>
      <c r="N396" s="5" t="str">
        <f>IF(A396="Inativo", "Inativo", IF(A396="", "Negado", IF(COUNTIF(C:C, C396)&gt;1, "Negado", IF(AND(K396="Alto", L396="S"), "Negado", "Aprovado"))))</f>
        <v>Aprovado</v>
      </c>
      <c r="O396" s="5" t="str">
        <f>IF(A396="Inativo", "Inativo", IF(A396="", "Negado", IF(COUNTIF(C:C, C396)&gt;1, "Negado", IF(AND(I396&gt;50000, L396="S"), "Negado", "Aprovado"))))</f>
        <v>Aprovado</v>
      </c>
      <c r="P396" s="2">
        <f>IF(OR(N396="Negado", O396="Negado", A396="", L396=""), 0, IF(A396="Ativo", M396*0.08, 0))</f>
        <v>200</v>
      </c>
    </row>
    <row r="397" spans="1:16">
      <c r="A397" s="5" t="s">
        <v>77</v>
      </c>
      <c r="B397" s="47" t="s">
        <v>839</v>
      </c>
      <c r="C397" s="47" t="s">
        <v>840</v>
      </c>
      <c r="D397" s="5">
        <v>62</v>
      </c>
      <c r="E397" s="8">
        <v>23358</v>
      </c>
      <c r="F397" t="s">
        <v>168</v>
      </c>
      <c r="G397" t="s">
        <v>144</v>
      </c>
      <c r="H397" s="9">
        <v>14600</v>
      </c>
      <c r="I397" s="9">
        <v>15500</v>
      </c>
      <c r="J397" s="5">
        <v>2</v>
      </c>
      <c r="K397" s="5" t="str">
        <f>IF(J397&lt;=10, "Baixo", IF(J397&lt;=25, "Médio", "Alto"))</f>
        <v>Baixo</v>
      </c>
      <c r="M397" s="2">
        <v>2500</v>
      </c>
      <c r="N397" s="5" t="str">
        <f>IF(A397="Inativo", "Inativo", IF(A397="", "Negado", IF(COUNTIF(C:C, C397)&gt;1, "Negado", IF(AND(K397="Alto", L397="S"), "Negado", "Aprovado"))))</f>
        <v>Inativo</v>
      </c>
      <c r="O397" s="5" t="str">
        <f>IF(A397="Inativo", "Inativo", IF(A397="", "Negado", IF(COUNTIF(C:C, C397)&gt;1, "Negado", IF(AND(I397&gt;50000, L397="S"), "Negado", "Aprovado"))))</f>
        <v>Inativo</v>
      </c>
      <c r="P397" s="2">
        <f>IF(OR(N397="Negado", O397="Negado", A397="", L397=""), 0, IF(A397="Ativo", M397*0.08, 0))</f>
        <v>0</v>
      </c>
    </row>
    <row r="398" spans="1:16">
      <c r="A398" s="5" t="s">
        <v>72</v>
      </c>
      <c r="B398" s="47" t="s">
        <v>432</v>
      </c>
      <c r="C398" s="47" t="s">
        <v>433</v>
      </c>
      <c r="D398" s="5">
        <v>72</v>
      </c>
      <c r="E398" s="8">
        <v>19839</v>
      </c>
      <c r="F398" t="s">
        <v>75</v>
      </c>
      <c r="G398" t="s">
        <v>76</v>
      </c>
      <c r="H398" s="9">
        <v>3900</v>
      </c>
      <c r="I398" s="9">
        <v>27000</v>
      </c>
      <c r="J398" s="5">
        <v>33</v>
      </c>
      <c r="K398" s="5" t="str">
        <f>IF(J398&lt;=10, "Baixo", IF(J398&lt;=25, "Médio", "Alto"))</f>
        <v>Alto</v>
      </c>
      <c r="L398" s="5" t="s">
        <v>874</v>
      </c>
      <c r="M398" s="2">
        <v>2000</v>
      </c>
      <c r="N398" s="5" t="str">
        <f>IF(A398="Inativo", "Inativo", IF(A398="", "Negado", IF(COUNTIF(C:C, C398)&gt;1, "Negado", IF(AND(K398="Alto", L398="S"), "Negado", "Aprovado"))))</f>
        <v>Aprovado</v>
      </c>
      <c r="O398" s="5" t="str">
        <f>IF(A398="Inativo", "Inativo", IF(A398="", "Negado", IF(COUNTIF(C:C, C398)&gt;1, "Negado", IF(AND(I398&gt;50000, L398="S"), "Negado", "Aprovado"))))</f>
        <v>Aprovado</v>
      </c>
      <c r="P398" s="2">
        <f>IF(OR(N398="Negado", O398="Negado", A398="", L398=""), 0, IF(A398="Ativo", M398*0.08, 0))</f>
        <v>160</v>
      </c>
    </row>
    <row r="399" spans="1:16">
      <c r="A399" s="5" t="s">
        <v>77</v>
      </c>
      <c r="B399" s="47" t="s">
        <v>114</v>
      </c>
      <c r="C399" s="47" t="s">
        <v>115</v>
      </c>
      <c r="D399" s="5">
        <v>61</v>
      </c>
      <c r="E399" s="8">
        <v>23667</v>
      </c>
      <c r="F399" t="s">
        <v>116</v>
      </c>
      <c r="G399" t="s">
        <v>117</v>
      </c>
      <c r="H399" s="9">
        <v>23000</v>
      </c>
      <c r="I399" s="9">
        <v>44500</v>
      </c>
      <c r="J399" s="5">
        <v>32</v>
      </c>
      <c r="K399" s="5" t="str">
        <f>IF(J399&lt;=10, "Baixo", IF(J399&lt;=25, "Médio", "Alto"))</f>
        <v>Alto</v>
      </c>
      <c r="L399" s="5" t="s">
        <v>876</v>
      </c>
      <c r="M399" s="2">
        <v>2000</v>
      </c>
      <c r="N399" s="5" t="str">
        <f>IF(A399="Inativo", "Inativo", IF(A399="", "Negado", IF(COUNTIF(C:C, C399)&gt;1, "Negado", IF(AND(K399="Alto", L399="S"), "Negado", "Aprovado"))))</f>
        <v>Inativo</v>
      </c>
      <c r="O399" s="5" t="str">
        <f>IF(A399="Inativo", "Inativo", IF(A399="", "Negado", IF(COUNTIF(C:C, C399)&gt;1, "Negado", IF(AND(I399&gt;50000, L399="S"), "Negado", "Aprovado"))))</f>
        <v>Inativo</v>
      </c>
      <c r="P399" s="2">
        <f>IF(OR(N399="Negado", O399="Negado", A399="", L399=""), 0, IF(A399="Ativo", M399*0.08, 0))</f>
        <v>0</v>
      </c>
    </row>
    <row r="400" spans="1:16">
      <c r="A400" s="5" t="s">
        <v>77</v>
      </c>
      <c r="B400" s="47" t="s">
        <v>667</v>
      </c>
      <c r="C400" s="47" t="s">
        <v>668</v>
      </c>
      <c r="D400" s="5">
        <v>20</v>
      </c>
      <c r="E400" s="8">
        <v>38704</v>
      </c>
      <c r="F400" t="s">
        <v>300</v>
      </c>
      <c r="G400" t="s">
        <v>301</v>
      </c>
      <c r="H400" s="9">
        <v>12900</v>
      </c>
      <c r="I400" s="9">
        <v>26500</v>
      </c>
      <c r="J400" s="5">
        <v>13</v>
      </c>
      <c r="K400" s="5" t="str">
        <f>IF(J400&lt;=10, "Baixo", IF(J400&lt;=25, "Médio", "Alto"))</f>
        <v>Médio</v>
      </c>
      <c r="L400" s="5" t="s">
        <v>874</v>
      </c>
      <c r="M400" s="2">
        <v>2000</v>
      </c>
      <c r="N400" s="5" t="str">
        <f>IF(A400="Inativo", "Inativo", IF(A400="", "Negado", IF(COUNTIF(C:C, C400)&gt;1, "Negado", IF(AND(K400="Alto", L400="S"), "Negado", "Aprovado"))))</f>
        <v>Inativo</v>
      </c>
      <c r="O400" s="5" t="str">
        <f>IF(A400="Inativo", "Inativo", IF(A400="", "Negado", IF(COUNTIF(C:C, C400)&gt;1, "Negado", IF(AND(I400&gt;50000, L400="S"), "Negado", "Aprovado"))))</f>
        <v>Inativo</v>
      </c>
      <c r="P400" s="2">
        <f>IF(OR(N400="Negado", O400="Negado", A400="", L400=""), 0, IF(A400="Ativo", M400*0.08, 0))</f>
        <v>0</v>
      </c>
    </row>
    <row r="401" spans="1:16">
      <c r="A401" s="5" t="s">
        <v>77</v>
      </c>
      <c r="B401" s="47" t="s">
        <v>806</v>
      </c>
      <c r="C401" s="47" t="s">
        <v>807</v>
      </c>
      <c r="D401" s="5">
        <v>66</v>
      </c>
      <c r="E401" s="8">
        <v>22101</v>
      </c>
      <c r="F401" t="s">
        <v>116</v>
      </c>
      <c r="G401" t="s">
        <v>117</v>
      </c>
      <c r="H401" s="9">
        <v>16800</v>
      </c>
      <c r="I401" s="9">
        <v>79500</v>
      </c>
      <c r="J401" s="5">
        <v>36</v>
      </c>
      <c r="K401" s="5" t="str">
        <f>IF(J401&lt;=10, "Baixo", IF(J401&lt;=25, "Médio", "Alto"))</f>
        <v>Alto</v>
      </c>
      <c r="L401" s="5" t="s">
        <v>874</v>
      </c>
      <c r="M401" s="2">
        <v>1500</v>
      </c>
      <c r="N401" s="5" t="str">
        <f>IF(A401="Inativo", "Inativo", IF(A401="", "Negado", IF(COUNTIF(C:C, C401)&gt;1, "Negado", IF(AND(K401="Alto", L401="S"), "Negado", "Aprovado"))))</f>
        <v>Inativo</v>
      </c>
      <c r="O401" s="5" t="str">
        <f>IF(A401="Inativo", "Inativo", IF(A401="", "Negado", IF(COUNTIF(C:C, C401)&gt;1, "Negado", IF(AND(I401&gt;50000, L401="S"), "Negado", "Aprovado"))))</f>
        <v>Inativo</v>
      </c>
      <c r="P401" s="2">
        <f>IF(OR(N401="Negado", O401="Negado", A401="", L401=""), 0, IF(A401="Ativo", M401*0.08, 0))</f>
        <v>0</v>
      </c>
    </row>
    <row r="402" spans="1:16">
      <c r="A402" s="5" t="s">
        <v>77</v>
      </c>
      <c r="B402" s="47" t="s">
        <v>458</v>
      </c>
      <c r="C402" s="47" t="s">
        <v>459</v>
      </c>
      <c r="D402" s="5">
        <v>33</v>
      </c>
      <c r="E402" s="8">
        <v>33955</v>
      </c>
      <c r="F402" t="s">
        <v>165</v>
      </c>
      <c r="G402" t="s">
        <v>137</v>
      </c>
      <c r="H402" s="9">
        <v>25700</v>
      </c>
      <c r="I402" s="9">
        <v>35000</v>
      </c>
      <c r="J402" s="5">
        <v>40</v>
      </c>
      <c r="K402" s="5" t="str">
        <f>IF(J402&lt;=10, "Baixo", IF(J402&lt;=25, "Médio", "Alto"))</f>
        <v>Alto</v>
      </c>
      <c r="L402" s="5" t="s">
        <v>874</v>
      </c>
      <c r="M402" s="2">
        <v>1000</v>
      </c>
      <c r="N402" s="5" t="str">
        <f>IF(A402="Inativo", "Inativo", IF(A402="", "Negado", IF(COUNTIF(C:C, C402)&gt;1, "Negado", IF(AND(K402="Alto", L402="S"), "Negado", "Aprovado"))))</f>
        <v>Inativo</v>
      </c>
      <c r="O402" s="5" t="str">
        <f>IF(A402="Inativo", "Inativo", IF(A402="", "Negado", IF(COUNTIF(C:C, C402)&gt;1, "Negado", IF(AND(I402&gt;50000, L402="S"), "Negado", "Aprovado"))))</f>
        <v>Inativo</v>
      </c>
      <c r="P402" s="2">
        <f>IF(OR(N402="Negado", O402="Negado", A402="", L402=""), 0, IF(A402="Ativo", M402*0.08, 0))</f>
        <v>0</v>
      </c>
    </row>
  </sheetData>
  <conditionalFormatting sqref="A2:A402 J2:J402 L2:L402">
    <cfRule type="containsBlanks" dxfId="42" priority="10">
      <formula>LEN(TRIM(A2))=0</formula>
    </cfRule>
  </conditionalFormatting>
  <conditionalFormatting sqref="H2:H402">
    <cfRule type="cellIs" dxfId="41" priority="8" operator="equal">
      <formula>0</formula>
    </cfRule>
  </conditionalFormatting>
  <conditionalFormatting sqref="D2:E402">
    <cfRule type="containsBlanks" dxfId="40" priority="2">
      <formula>LEN(TRIM(D2))=0</formula>
    </cfRule>
  </conditionalFormatting>
  <conditionalFormatting sqref="C2:C402">
    <cfRule type="duplicateValues" dxfId="39" priority="19"/>
    <cfRule type="containsBlanks" dxfId="38" priority="20">
      <formula>LEN(TRIM(C2))=0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2F03-7CD0-4DEB-A62F-D00A104AFBC4}">
  <dimension ref="A1:G12"/>
  <sheetViews>
    <sheetView workbookViewId="0">
      <selection activeCell="I8" sqref="I8"/>
    </sheetView>
  </sheetViews>
  <sheetFormatPr defaultRowHeight="15"/>
  <cols>
    <col min="1" max="1" width="18.85546875" bestFit="1" customWidth="1"/>
    <col min="2" max="2" width="52.85546875" style="49" customWidth="1"/>
    <col min="3" max="3" width="28.7109375" bestFit="1" customWidth="1"/>
    <col min="4" max="4" width="19.42578125" customWidth="1"/>
    <col min="5" max="5" width="87.140625" customWidth="1"/>
    <col min="6" max="6" width="46" bestFit="1" customWidth="1"/>
    <col min="7" max="7" width="10.5703125" bestFit="1" customWidth="1"/>
  </cols>
  <sheetData>
    <row r="1" spans="1:7">
      <c r="A1" s="18" t="s">
        <v>1013</v>
      </c>
      <c r="B1" s="48" t="s">
        <v>1014</v>
      </c>
      <c r="C1" s="19" t="s">
        <v>1015</v>
      </c>
      <c r="D1" s="19" t="s">
        <v>1016</v>
      </c>
      <c r="E1" s="19" t="s">
        <v>1017</v>
      </c>
      <c r="F1" s="19" t="s">
        <v>1018</v>
      </c>
      <c r="G1" s="20" t="s">
        <v>1019</v>
      </c>
    </row>
    <row r="2" spans="1:7" s="27" customFormat="1">
      <c r="A2" s="24" t="s">
        <v>59</v>
      </c>
      <c r="B2" s="26" t="s">
        <v>1020</v>
      </c>
      <c r="C2" s="25" t="s">
        <v>1021</v>
      </c>
      <c r="D2" s="25" t="s">
        <v>1022</v>
      </c>
      <c r="E2" s="26" t="s">
        <v>1023</v>
      </c>
      <c r="F2" s="25" t="s">
        <v>1024</v>
      </c>
      <c r="G2" s="29" t="s">
        <v>1025</v>
      </c>
    </row>
    <row r="3" spans="1:7" s="27" customFormat="1">
      <c r="A3" s="24" t="s">
        <v>60</v>
      </c>
      <c r="B3" s="26" t="s">
        <v>1026</v>
      </c>
      <c r="C3" s="25" t="s">
        <v>1027</v>
      </c>
      <c r="D3" s="25" t="s">
        <v>1028</v>
      </c>
      <c r="E3" s="26" t="s">
        <v>1029</v>
      </c>
      <c r="F3" s="25" t="s">
        <v>1030</v>
      </c>
      <c r="G3" s="29" t="s">
        <v>1025</v>
      </c>
    </row>
    <row r="4" spans="1:7" s="27" customFormat="1" ht="36">
      <c r="A4" s="24" t="s">
        <v>61</v>
      </c>
      <c r="B4" s="26" t="s">
        <v>1031</v>
      </c>
      <c r="C4" s="25" t="s">
        <v>1032</v>
      </c>
      <c r="D4" s="25" t="s">
        <v>1033</v>
      </c>
      <c r="E4" s="26" t="s">
        <v>1034</v>
      </c>
      <c r="F4" s="25" t="s">
        <v>1035</v>
      </c>
      <c r="G4" s="29" t="s">
        <v>1025</v>
      </c>
    </row>
    <row r="5" spans="1:7" s="27" customFormat="1">
      <c r="A5" s="24" t="s">
        <v>62</v>
      </c>
      <c r="B5" s="26" t="s">
        <v>1036</v>
      </c>
      <c r="C5" s="25" t="s">
        <v>1037</v>
      </c>
      <c r="D5" s="25" t="s">
        <v>1038</v>
      </c>
      <c r="E5" s="26" t="s">
        <v>1039</v>
      </c>
      <c r="F5" s="25" t="s">
        <v>1040</v>
      </c>
      <c r="G5" s="29" t="s">
        <v>1025</v>
      </c>
    </row>
    <row r="6" spans="1:7" s="27" customFormat="1">
      <c r="A6" s="24" t="s">
        <v>63</v>
      </c>
      <c r="B6" s="26" t="s">
        <v>1041</v>
      </c>
      <c r="C6" s="28">
        <v>23156</v>
      </c>
      <c r="D6" s="25" t="s">
        <v>1028</v>
      </c>
      <c r="E6" s="26" t="s">
        <v>1042</v>
      </c>
      <c r="F6" s="25" t="s">
        <v>1043</v>
      </c>
      <c r="G6" s="29" t="s">
        <v>1025</v>
      </c>
    </row>
    <row r="7" spans="1:7" s="27" customFormat="1" ht="24">
      <c r="A7" s="24" t="s">
        <v>1044</v>
      </c>
      <c r="B7" s="26" t="s">
        <v>1045</v>
      </c>
      <c r="C7" s="25" t="s">
        <v>322</v>
      </c>
      <c r="D7" s="25" t="s">
        <v>1046</v>
      </c>
      <c r="E7" s="26" t="s">
        <v>1047</v>
      </c>
      <c r="F7" s="25" t="s">
        <v>1048</v>
      </c>
      <c r="G7" s="29" t="s">
        <v>1025</v>
      </c>
    </row>
    <row r="8" spans="1:7" s="27" customFormat="1" ht="24">
      <c r="A8" s="24" t="s">
        <v>66</v>
      </c>
      <c r="B8" s="26" t="s">
        <v>1049</v>
      </c>
      <c r="C8" s="25" t="s">
        <v>1050</v>
      </c>
      <c r="D8" s="25" t="s">
        <v>1038</v>
      </c>
      <c r="E8" s="26" t="s">
        <v>1051</v>
      </c>
      <c r="F8" s="25" t="s">
        <v>1052</v>
      </c>
      <c r="G8" s="29" t="s">
        <v>1025</v>
      </c>
    </row>
    <row r="9" spans="1:7" s="27" customFormat="1" ht="24">
      <c r="A9" s="24" t="s">
        <v>67</v>
      </c>
      <c r="B9" s="26" t="s">
        <v>1053</v>
      </c>
      <c r="C9" s="25" t="s">
        <v>1054</v>
      </c>
      <c r="D9" s="25" t="s">
        <v>1038</v>
      </c>
      <c r="E9" s="26" t="s">
        <v>1055</v>
      </c>
      <c r="F9" s="25" t="s">
        <v>1052</v>
      </c>
      <c r="G9" s="29" t="s">
        <v>1025</v>
      </c>
    </row>
    <row r="10" spans="1:7" s="27" customFormat="1">
      <c r="A10" s="24" t="s">
        <v>68</v>
      </c>
      <c r="B10" s="26" t="s">
        <v>1056</v>
      </c>
      <c r="C10" s="25" t="s">
        <v>1057</v>
      </c>
      <c r="D10" s="25" t="s">
        <v>1022</v>
      </c>
      <c r="E10" s="26" t="s">
        <v>1058</v>
      </c>
      <c r="F10" s="25" t="s">
        <v>1059</v>
      </c>
      <c r="G10" s="29" t="s">
        <v>1025</v>
      </c>
    </row>
    <row r="11" spans="1:7" s="27" customFormat="1">
      <c r="A11" s="24" t="s">
        <v>69</v>
      </c>
      <c r="B11" s="26" t="s">
        <v>1060</v>
      </c>
      <c r="C11" s="25" t="s">
        <v>1061</v>
      </c>
      <c r="D11" s="25" t="s">
        <v>1038</v>
      </c>
      <c r="E11" s="26" t="s">
        <v>1062</v>
      </c>
      <c r="F11" s="25" t="s">
        <v>1063</v>
      </c>
      <c r="G11" s="29" t="s">
        <v>1025</v>
      </c>
    </row>
    <row r="12" spans="1:7" s="27" customFormat="1" ht="24">
      <c r="A12" s="24" t="s">
        <v>70</v>
      </c>
      <c r="B12" s="26" t="s">
        <v>1064</v>
      </c>
      <c r="C12" s="25" t="s">
        <v>1065</v>
      </c>
      <c r="D12" s="25" t="s">
        <v>1066</v>
      </c>
      <c r="E12" s="26" t="s">
        <v>1067</v>
      </c>
      <c r="F12" s="25" t="s">
        <v>1068</v>
      </c>
      <c r="G12" s="29" t="s">
        <v>1025</v>
      </c>
    </row>
  </sheetData>
  <conditionalFormatting sqref="G2:G12">
    <cfRule type="containsText" dxfId="22" priority="1" operator="containsText" text="Corrigido">
      <formula>NOT(ISERROR(SEARCH("Corrigido",G2)))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3278-63CE-4DD1-A16D-AD733984D43F}">
  <dimension ref="A1:F16"/>
  <sheetViews>
    <sheetView workbookViewId="0">
      <selection activeCell="K2" sqref="K2"/>
    </sheetView>
  </sheetViews>
  <sheetFormatPr defaultRowHeight="15"/>
  <cols>
    <col min="1" max="1" width="26.42578125" bestFit="1" customWidth="1"/>
    <col min="2" max="2" width="23.85546875" bestFit="1" customWidth="1"/>
    <col min="3" max="3" width="57.42578125" style="2" bestFit="1" customWidth="1"/>
    <col min="4" max="4" width="16.5703125" bestFit="1" customWidth="1"/>
    <col min="5" max="5" width="56" customWidth="1"/>
    <col min="6" max="6" width="13.7109375" style="2" bestFit="1" customWidth="1"/>
  </cols>
  <sheetData>
    <row r="1" spans="1:6">
      <c r="A1" s="21" t="s">
        <v>1069</v>
      </c>
      <c r="B1" s="22" t="s">
        <v>1070</v>
      </c>
      <c r="C1" s="22" t="s">
        <v>1071</v>
      </c>
      <c r="D1" s="22" t="s">
        <v>1072</v>
      </c>
      <c r="E1" s="23" t="s">
        <v>1073</v>
      </c>
    </row>
    <row r="2" spans="1:6" s="27" customFormat="1" ht="36">
      <c r="A2" s="34" t="s">
        <v>1074</v>
      </c>
      <c r="B2" s="31" t="s">
        <v>1075</v>
      </c>
      <c r="C2" s="31" t="s">
        <v>1076</v>
      </c>
      <c r="D2" s="30" t="s">
        <v>1077</v>
      </c>
      <c r="E2" s="32" t="s">
        <v>1078</v>
      </c>
      <c r="F2" s="33"/>
    </row>
    <row r="4" spans="1:6">
      <c r="A4" s="4" t="s">
        <v>872</v>
      </c>
      <c r="B4" t="s">
        <v>1079</v>
      </c>
      <c r="C4" s="16" t="s">
        <v>1080</v>
      </c>
    </row>
    <row r="6" spans="1:6">
      <c r="A6" s="4" t="s">
        <v>65</v>
      </c>
      <c r="B6" t="s">
        <v>1081</v>
      </c>
      <c r="C6" s="17" t="s">
        <v>1082</v>
      </c>
    </row>
    <row r="7" spans="1:6">
      <c r="A7" t="s">
        <v>179</v>
      </c>
      <c r="B7" s="2">
        <v>386000</v>
      </c>
      <c r="C7" s="2">
        <f>B7*0.08</f>
        <v>30880</v>
      </c>
      <c r="E7" t="s">
        <v>179</v>
      </c>
      <c r="F7" s="2">
        <v>30880</v>
      </c>
    </row>
    <row r="8" spans="1:6">
      <c r="A8" t="s">
        <v>411</v>
      </c>
      <c r="B8" s="2">
        <v>360500</v>
      </c>
      <c r="C8" s="2">
        <f t="shared" ref="C8:C14" si="0">B8*0.08</f>
        <v>28840</v>
      </c>
      <c r="E8" t="s">
        <v>411</v>
      </c>
      <c r="F8" s="2">
        <v>28840</v>
      </c>
    </row>
    <row r="9" spans="1:6">
      <c r="A9" t="s">
        <v>134</v>
      </c>
      <c r="B9" s="2">
        <v>329500</v>
      </c>
      <c r="C9" s="2">
        <f t="shared" si="0"/>
        <v>26360</v>
      </c>
      <c r="E9" t="s">
        <v>134</v>
      </c>
      <c r="F9" s="2">
        <v>26360</v>
      </c>
    </row>
    <row r="10" spans="1:6">
      <c r="A10" t="s">
        <v>144</v>
      </c>
      <c r="B10" s="2">
        <v>310500</v>
      </c>
      <c r="C10" s="2">
        <f t="shared" si="0"/>
        <v>24840</v>
      </c>
      <c r="E10" t="s">
        <v>144</v>
      </c>
      <c r="F10" s="2">
        <v>24840</v>
      </c>
    </row>
    <row r="11" spans="1:6">
      <c r="A11" t="s">
        <v>117</v>
      </c>
      <c r="B11" s="2">
        <v>288000</v>
      </c>
      <c r="C11" s="2">
        <f t="shared" si="0"/>
        <v>23040</v>
      </c>
      <c r="E11" t="s">
        <v>117</v>
      </c>
      <c r="F11" s="2">
        <v>23040</v>
      </c>
    </row>
    <row r="12" spans="1:6">
      <c r="A12" t="s">
        <v>137</v>
      </c>
      <c r="B12" s="2">
        <v>238500</v>
      </c>
      <c r="C12" s="2">
        <f t="shared" si="0"/>
        <v>19080</v>
      </c>
      <c r="E12" t="s">
        <v>137</v>
      </c>
      <c r="F12" s="2">
        <v>19080</v>
      </c>
    </row>
    <row r="13" spans="1:6">
      <c r="A13" t="s">
        <v>301</v>
      </c>
      <c r="B13" s="2">
        <v>110500</v>
      </c>
      <c r="C13" s="2">
        <f t="shared" si="0"/>
        <v>8840</v>
      </c>
      <c r="E13" t="s">
        <v>301</v>
      </c>
      <c r="F13" s="2">
        <v>8840</v>
      </c>
    </row>
    <row r="14" spans="1:6">
      <c r="A14" t="s">
        <v>108</v>
      </c>
      <c r="B14" s="2">
        <v>85800</v>
      </c>
      <c r="C14" s="2">
        <f t="shared" si="0"/>
        <v>6864</v>
      </c>
      <c r="E14" t="s">
        <v>108</v>
      </c>
      <c r="F14" s="2">
        <v>6864</v>
      </c>
    </row>
    <row r="15" spans="1:6">
      <c r="A15" t="s">
        <v>453</v>
      </c>
      <c r="B15" s="2">
        <v>50000</v>
      </c>
      <c r="C15" s="2">
        <f>B15*0.08</f>
        <v>4000</v>
      </c>
      <c r="E15" t="s">
        <v>453</v>
      </c>
      <c r="F15" s="2">
        <v>4000</v>
      </c>
    </row>
    <row r="16" spans="1:6">
      <c r="A16" t="s">
        <v>1083</v>
      </c>
      <c r="B16" s="2">
        <v>2159300</v>
      </c>
      <c r="C16" s="15">
        <f>B16*0.08</f>
        <v>172744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2026-09-04T18:46:52Z</dcterms:created>
  <dcterms:modified xsi:type="dcterms:W3CDTF">2026-09-12T17:27:34Z</dcterms:modified>
  <cp:category/>
  <cp:contentStatus/>
</cp:coreProperties>
</file>